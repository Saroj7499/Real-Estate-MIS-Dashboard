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roj\Downloads\"/>
    </mc:Choice>
  </mc:AlternateContent>
  <xr:revisionPtr revIDLastSave="0" documentId="13_ncr:1_{4E55F584-6038-406A-93B6-AE8866AE833F}" xr6:coauthVersionLast="47" xr6:coauthVersionMax="47" xr10:uidLastSave="{00000000-0000-0000-0000-000000000000}"/>
  <bookViews>
    <workbookView xWindow="-108" yWindow="-108" windowWidth="23256" windowHeight="12576" activeTab="2" xr2:uid="{9C6AE22B-53C0-4677-9681-622C0672AC9E}"/>
  </bookViews>
  <sheets>
    <sheet name="Pivot Analysis" sheetId="7" r:id="rId1"/>
    <sheet name="Cleaned Data" sheetId="4" r:id="rId2"/>
    <sheet name="MIS Summary" sheetId="5" r:id="rId3"/>
    <sheet name="Annual_MIS" sheetId="6" r:id="rId4"/>
    <sheet name="Monthly_MIS" sheetId="9" r:id="rId5"/>
    <sheet name="Daily_MIS" sheetId="10" r:id="rId6"/>
    <sheet name="AutomateCleaning" sheetId="8" r:id="rId7"/>
    <sheet name="Raw Data" sheetId="1" r:id="rId8"/>
  </sheets>
  <definedNames>
    <definedName name="_xlnm._FilterDatabase" localSheetId="1" hidden="1">'Cleaned Data'!$A$1:$M$1</definedName>
    <definedName name="ExternalData_1" localSheetId="6" hidden="1">AutomateCleaning!$A$1:$L$431</definedName>
    <definedName name="Slicer_Payment_Status">#N/A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0" l="1"/>
  <c r="D3" i="10" s="1"/>
  <c r="E3" i="10" s="1"/>
  <c r="C4" i="10"/>
  <c r="D4" i="10" s="1"/>
  <c r="E4" i="10" s="1"/>
  <c r="C5" i="10"/>
  <c r="D5" i="10" s="1"/>
  <c r="E5" i="10" s="1"/>
  <c r="C6" i="10"/>
  <c r="D6" i="10" s="1"/>
  <c r="E6" i="10" s="1"/>
  <c r="C2" i="10"/>
  <c r="D2" i="10" s="1"/>
  <c r="E2" i="10" s="1"/>
  <c r="C3" i="9"/>
  <c r="D3" i="9" s="1"/>
  <c r="E3" i="9" s="1"/>
  <c r="C4" i="9"/>
  <c r="D4" i="9" s="1"/>
  <c r="E4" i="9" s="1"/>
  <c r="C5" i="9"/>
  <c r="D5" i="9" s="1"/>
  <c r="E5" i="9" s="1"/>
  <c r="C6" i="9"/>
  <c r="D6" i="9" s="1"/>
  <c r="E6" i="9" s="1"/>
  <c r="C2" i="9"/>
  <c r="D2" i="9" s="1"/>
  <c r="E2" i="9" s="1"/>
  <c r="C2" i="6"/>
  <c r="D2" i="6" s="1"/>
  <c r="E2" i="6" s="1"/>
  <c r="C3" i="6"/>
  <c r="D3" i="6" s="1"/>
  <c r="E3" i="6" s="1"/>
  <c r="C4" i="6"/>
  <c r="D4" i="6" s="1"/>
  <c r="E4" i="6" s="1"/>
  <c r="C5" i="6"/>
  <c r="D5" i="6" s="1"/>
  <c r="E5" i="6" s="1"/>
  <c r="C6" i="6"/>
  <c r="D6" i="6" s="1"/>
  <c r="E6" i="6" s="1"/>
  <c r="A2" i="6" a="1"/>
  <c r="A2" i="6" s="1"/>
  <c r="C19" i="5"/>
  <c r="C20" i="5"/>
  <c r="D20" i="5" s="1"/>
  <c r="C21" i="5"/>
  <c r="C22" i="5"/>
  <c r="C18" i="5"/>
  <c r="B19" i="5"/>
  <c r="B20" i="5"/>
  <c r="B21" i="5"/>
  <c r="B22" i="5"/>
  <c r="B18" i="5"/>
  <c r="B13" i="5"/>
  <c r="B14" i="5"/>
  <c r="B15" i="5"/>
  <c r="B12" i="5"/>
  <c r="B8" i="5"/>
  <c r="B9" i="5"/>
  <c r="B7" i="5"/>
  <c r="B3" i="5"/>
  <c r="B4" i="5"/>
  <c r="B2" i="5"/>
  <c r="D18" i="5" l="1"/>
  <c r="D22" i="5"/>
  <c r="D21" i="5"/>
  <c r="D1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3E674-473D-425F-94F7-AF5BB4B5ADC1}"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<sst xmlns="http://schemas.openxmlformats.org/spreadsheetml/2006/main" count="9840" uniqueCount="507">
  <si>
    <t>Booking_ID</t>
  </si>
  <si>
    <t>Booking_Date</t>
  </si>
  <si>
    <t>Sales_Executive</t>
  </si>
  <si>
    <t>Project_Name</t>
  </si>
  <si>
    <t>Location</t>
  </si>
  <si>
    <t>Flat_Type</t>
  </si>
  <si>
    <t>Booking_Amount</t>
  </si>
  <si>
    <t>Amount_Received</t>
  </si>
  <si>
    <t>Payment_Status</t>
  </si>
  <si>
    <t>Possession_Date</t>
  </si>
  <si>
    <t>Sales_Target</t>
  </si>
  <si>
    <t>Remarks</t>
  </si>
  <si>
    <t>RG-001</t>
  </si>
  <si>
    <t>Pooja Desai</t>
  </si>
  <si>
    <t>RG Residency</t>
  </si>
  <si>
    <t>Adajan</t>
  </si>
  <si>
    <t>2BHK</t>
  </si>
  <si>
    <t>Cancelled</t>
  </si>
  <si>
    <t>Builder referral</t>
  </si>
  <si>
    <t>RG-002</t>
  </si>
  <si>
    <t>Confirmed</t>
  </si>
  <si>
    <t>RG-003</t>
  </si>
  <si>
    <t>Ravi Patel</t>
  </si>
  <si>
    <t>RG Heights</t>
  </si>
  <si>
    <t>Bopal</t>
  </si>
  <si>
    <t>1BHK</t>
  </si>
  <si>
    <t>Pending</t>
  </si>
  <si>
    <t>RG-004</t>
  </si>
  <si>
    <t>Karan Mehta</t>
  </si>
  <si>
    <t>Online inquiry</t>
  </si>
  <si>
    <t>RG-005</t>
  </si>
  <si>
    <t>Meena Shah</t>
  </si>
  <si>
    <t>RG-006</t>
  </si>
  <si>
    <t>3BHK</t>
  </si>
  <si>
    <t>RG-007</t>
  </si>
  <si>
    <t>Amit Verma</t>
  </si>
  <si>
    <t>RG-008</t>
  </si>
  <si>
    <t>RG-009</t>
  </si>
  <si>
    <t>NRI buyer</t>
  </si>
  <si>
    <t>RG-010</t>
  </si>
  <si>
    <t>Repeat client</t>
  </si>
  <si>
    <t>RG-011</t>
  </si>
  <si>
    <t>Referred by agent</t>
  </si>
  <si>
    <t>RG-012</t>
  </si>
  <si>
    <t>RG Greens</t>
  </si>
  <si>
    <t>Vesu</t>
  </si>
  <si>
    <t>RG-013</t>
  </si>
  <si>
    <t>RG-014</t>
  </si>
  <si>
    <t>RG-015</t>
  </si>
  <si>
    <t>RG-016</t>
  </si>
  <si>
    <t>RG-017</t>
  </si>
  <si>
    <t>4BHK</t>
  </si>
  <si>
    <t>Walk-in customer</t>
  </si>
  <si>
    <t>RG-018</t>
  </si>
  <si>
    <t>RG-019</t>
  </si>
  <si>
    <t>RG-020</t>
  </si>
  <si>
    <t xml:space="preserve">  RG Heights  </t>
  </si>
  <si>
    <t>RG-021</t>
  </si>
  <si>
    <t>RAVI PATEL</t>
  </si>
  <si>
    <t>RG-022</t>
  </si>
  <si>
    <t>RG-023</t>
  </si>
  <si>
    <t>RG-024</t>
  </si>
  <si>
    <t>RG-025</t>
  </si>
  <si>
    <t>RG-026</t>
  </si>
  <si>
    <t>RG-027</t>
  </si>
  <si>
    <t>RG-028</t>
  </si>
  <si>
    <t>KARAN MEHTA</t>
  </si>
  <si>
    <t>RG-029</t>
  </si>
  <si>
    <t>RG-030</t>
  </si>
  <si>
    <t>RG-031</t>
  </si>
  <si>
    <t>RG-032</t>
  </si>
  <si>
    <t>RG-033</t>
  </si>
  <si>
    <t>RG-034</t>
  </si>
  <si>
    <t>RG-035</t>
  </si>
  <si>
    <t>RG-036</t>
  </si>
  <si>
    <t>RG-037</t>
  </si>
  <si>
    <t>RG-038</t>
  </si>
  <si>
    <t>RG-039</t>
  </si>
  <si>
    <t>RG-040</t>
  </si>
  <si>
    <t>RG-041</t>
  </si>
  <si>
    <t>RG-042</t>
  </si>
  <si>
    <t>RG-043</t>
  </si>
  <si>
    <t>RG-044</t>
  </si>
  <si>
    <t>RG-045</t>
  </si>
  <si>
    <t>RG-046</t>
  </si>
  <si>
    <t>RG-047</t>
  </si>
  <si>
    <t>RG-048</t>
  </si>
  <si>
    <t>RG-049</t>
  </si>
  <si>
    <t>RG-050</t>
  </si>
  <si>
    <t>RG-051</t>
  </si>
  <si>
    <t>RG-052</t>
  </si>
  <si>
    <t>RG-053</t>
  </si>
  <si>
    <t>RG-054</t>
  </si>
  <si>
    <t>RG-055</t>
  </si>
  <si>
    <t>RG-056</t>
  </si>
  <si>
    <t>RG-057</t>
  </si>
  <si>
    <t>RG-058</t>
  </si>
  <si>
    <t>RG-059</t>
  </si>
  <si>
    <t>RG-060</t>
  </si>
  <si>
    <t>POOJA DESAI</t>
  </si>
  <si>
    <t>RG-061</t>
  </si>
  <si>
    <t>RG-062</t>
  </si>
  <si>
    <t>RG-063</t>
  </si>
  <si>
    <t>RG-064</t>
  </si>
  <si>
    <t>RG-065</t>
  </si>
  <si>
    <t>RG-066</t>
  </si>
  <si>
    <t>RG-067</t>
  </si>
  <si>
    <t>RG-068</t>
  </si>
  <si>
    <t>RG-069</t>
  </si>
  <si>
    <t>RG-070</t>
  </si>
  <si>
    <t>RG-071</t>
  </si>
  <si>
    <t>RG-072</t>
  </si>
  <si>
    <t>RG-073</t>
  </si>
  <si>
    <t>RG-074</t>
  </si>
  <si>
    <t>adajan</t>
  </si>
  <si>
    <t>RG-075</t>
  </si>
  <si>
    <t>RG-076</t>
  </si>
  <si>
    <t>RG-077</t>
  </si>
  <si>
    <t>RG-078</t>
  </si>
  <si>
    <t>RG-079</t>
  </si>
  <si>
    <t>RG-080</t>
  </si>
  <si>
    <t>RG-081</t>
  </si>
  <si>
    <t>RG-082</t>
  </si>
  <si>
    <t>RG-083</t>
  </si>
  <si>
    <t>RG-084</t>
  </si>
  <si>
    <t>RG-085</t>
  </si>
  <si>
    <t>RG-086</t>
  </si>
  <si>
    <t>RG-087</t>
  </si>
  <si>
    <t>RG-088</t>
  </si>
  <si>
    <t>RG-089</t>
  </si>
  <si>
    <t>RG-090</t>
  </si>
  <si>
    <t>RG-091</t>
  </si>
  <si>
    <t>RG-092</t>
  </si>
  <si>
    <t>RG-093</t>
  </si>
  <si>
    <t>RG-094</t>
  </si>
  <si>
    <t>RG-095</t>
  </si>
  <si>
    <t>RG-096</t>
  </si>
  <si>
    <t>RG-097</t>
  </si>
  <si>
    <t>RG-098</t>
  </si>
  <si>
    <t>RG-099</t>
  </si>
  <si>
    <t>RG-100</t>
  </si>
  <si>
    <t>RG-101</t>
  </si>
  <si>
    <t>RG-102</t>
  </si>
  <si>
    <t>RG-103</t>
  </si>
  <si>
    <t>RG-104</t>
  </si>
  <si>
    <t>RG-105</t>
  </si>
  <si>
    <t>RG-106</t>
  </si>
  <si>
    <t>RG-107</t>
  </si>
  <si>
    <t>RG-108</t>
  </si>
  <si>
    <t>RG-109</t>
  </si>
  <si>
    <t>RG-110</t>
  </si>
  <si>
    <t>RG-111</t>
  </si>
  <si>
    <t>RG-112</t>
  </si>
  <si>
    <t>RG-113</t>
  </si>
  <si>
    <t>RG-114</t>
  </si>
  <si>
    <t>RG-115</t>
  </si>
  <si>
    <t>RG-116</t>
  </si>
  <si>
    <t>RG-117</t>
  </si>
  <si>
    <t>RG-118</t>
  </si>
  <si>
    <t>RG-119</t>
  </si>
  <si>
    <t>RG-120</t>
  </si>
  <si>
    <t>RG-121</t>
  </si>
  <si>
    <t>RG-122</t>
  </si>
  <si>
    <t>RG-123</t>
  </si>
  <si>
    <t>RG-124</t>
  </si>
  <si>
    <t>RG-125</t>
  </si>
  <si>
    <t>MEENA SHAH</t>
  </si>
  <si>
    <t>RG-126</t>
  </si>
  <si>
    <t>RG-127</t>
  </si>
  <si>
    <t>RG-128</t>
  </si>
  <si>
    <t>RG-129</t>
  </si>
  <si>
    <t>RG-130</t>
  </si>
  <si>
    <t>RG-131</t>
  </si>
  <si>
    <t>RG-132</t>
  </si>
  <si>
    <t>RG-133</t>
  </si>
  <si>
    <t>bopal</t>
  </si>
  <si>
    <t>RG-134</t>
  </si>
  <si>
    <t>RG-135</t>
  </si>
  <si>
    <t>RG-136</t>
  </si>
  <si>
    <t>RG-137</t>
  </si>
  <si>
    <t>RG-138</t>
  </si>
  <si>
    <t>RG-139</t>
  </si>
  <si>
    <t>RG-140</t>
  </si>
  <si>
    <t>RG-141</t>
  </si>
  <si>
    <t>RG-142</t>
  </si>
  <si>
    <t>RG-143</t>
  </si>
  <si>
    <t>RG-144</t>
  </si>
  <si>
    <t>RG-145</t>
  </si>
  <si>
    <t>RG-146</t>
  </si>
  <si>
    <t>RG-147</t>
  </si>
  <si>
    <t>RG-148</t>
  </si>
  <si>
    <t>RG-149</t>
  </si>
  <si>
    <t>RG-150</t>
  </si>
  <si>
    <t>RG-151</t>
  </si>
  <si>
    <t>RG-152</t>
  </si>
  <si>
    <t>RG-153</t>
  </si>
  <si>
    <t>RG-154</t>
  </si>
  <si>
    <t>RG-155</t>
  </si>
  <si>
    <t>RG-156</t>
  </si>
  <si>
    <t>RG-157</t>
  </si>
  <si>
    <t>RG-158</t>
  </si>
  <si>
    <t>RG-159</t>
  </si>
  <si>
    <t>RG-160</t>
  </si>
  <si>
    <t>RG-161</t>
  </si>
  <si>
    <t>RG-162</t>
  </si>
  <si>
    <t>RG-163</t>
  </si>
  <si>
    <t>RG-164</t>
  </si>
  <si>
    <t>RG-165</t>
  </si>
  <si>
    <t>RG-166</t>
  </si>
  <si>
    <t>RG-167</t>
  </si>
  <si>
    <t>RG-168</t>
  </si>
  <si>
    <t>RG-169</t>
  </si>
  <si>
    <t>RG-170</t>
  </si>
  <si>
    <t>RG-171</t>
  </si>
  <si>
    <t>RG-172</t>
  </si>
  <si>
    <t>RG-173</t>
  </si>
  <si>
    <t>RG-174</t>
  </si>
  <si>
    <t>RG-175</t>
  </si>
  <si>
    <t>RG-176</t>
  </si>
  <si>
    <t>RG-177</t>
  </si>
  <si>
    <t>RG-178</t>
  </si>
  <si>
    <t>RG-179</t>
  </si>
  <si>
    <t>RG-180</t>
  </si>
  <si>
    <t>RG-181</t>
  </si>
  <si>
    <t>RG-182</t>
  </si>
  <si>
    <t>RG-183</t>
  </si>
  <si>
    <t>RG-184</t>
  </si>
  <si>
    <t>RG-185</t>
  </si>
  <si>
    <t>RG-186</t>
  </si>
  <si>
    <t>RG-187</t>
  </si>
  <si>
    <t>RG-188</t>
  </si>
  <si>
    <t>RG-189</t>
  </si>
  <si>
    <t>RG-190</t>
  </si>
  <si>
    <t>RG-191</t>
  </si>
  <si>
    <t>RG-192</t>
  </si>
  <si>
    <t>RG-193</t>
  </si>
  <si>
    <t>RG-194</t>
  </si>
  <si>
    <t>RG-195</t>
  </si>
  <si>
    <t>RG-196</t>
  </si>
  <si>
    <t>RG-197</t>
  </si>
  <si>
    <t>RG-198</t>
  </si>
  <si>
    <t>RG-199</t>
  </si>
  <si>
    <t>RG-200</t>
  </si>
  <si>
    <t>RG-201</t>
  </si>
  <si>
    <t>RG-202</t>
  </si>
  <si>
    <t>RG-203</t>
  </si>
  <si>
    <t>RG-204</t>
  </si>
  <si>
    <t>RG-205</t>
  </si>
  <si>
    <t>RG-206</t>
  </si>
  <si>
    <t>RG-207</t>
  </si>
  <si>
    <t>RG-208</t>
  </si>
  <si>
    <t>RG-209</t>
  </si>
  <si>
    <t>RG-210</t>
  </si>
  <si>
    <t>RG-211</t>
  </si>
  <si>
    <t>RG-212</t>
  </si>
  <si>
    <t>RG-213</t>
  </si>
  <si>
    <t>RG-214</t>
  </si>
  <si>
    <t>RG-215</t>
  </si>
  <si>
    <t>RG-216</t>
  </si>
  <si>
    <t>RG-217</t>
  </si>
  <si>
    <t>RG-218</t>
  </si>
  <si>
    <t>RG-219</t>
  </si>
  <si>
    <t>RG-220</t>
  </si>
  <si>
    <t>RG-221</t>
  </si>
  <si>
    <t>RG-222</t>
  </si>
  <si>
    <t>RG-223</t>
  </si>
  <si>
    <t>RG-224</t>
  </si>
  <si>
    <t>RG-225</t>
  </si>
  <si>
    <t>RG-226</t>
  </si>
  <si>
    <t>RG-227</t>
  </si>
  <si>
    <t>RG-228</t>
  </si>
  <si>
    <t>RG-229</t>
  </si>
  <si>
    <t>RG-230</t>
  </si>
  <si>
    <t>RG-231</t>
  </si>
  <si>
    <t>RG-232</t>
  </si>
  <si>
    <t>RG-233</t>
  </si>
  <si>
    <t>RG-234</t>
  </si>
  <si>
    <t>RG-235</t>
  </si>
  <si>
    <t>RG-236</t>
  </si>
  <si>
    <t>RG-237</t>
  </si>
  <si>
    <t>RG-238</t>
  </si>
  <si>
    <t>RG-239</t>
  </si>
  <si>
    <t>RG-240</t>
  </si>
  <si>
    <t>RG-241</t>
  </si>
  <si>
    <t>RG-242</t>
  </si>
  <si>
    <t>RG-243</t>
  </si>
  <si>
    <t>RG-244</t>
  </si>
  <si>
    <t>RG-245</t>
  </si>
  <si>
    <t>RG-246</t>
  </si>
  <si>
    <t>RG-247</t>
  </si>
  <si>
    <t>RG-248</t>
  </si>
  <si>
    <t>RG-249</t>
  </si>
  <si>
    <t>RG-250</t>
  </si>
  <si>
    <t>RG-251</t>
  </si>
  <si>
    <t>RG-252</t>
  </si>
  <si>
    <t>RG-253</t>
  </si>
  <si>
    <t>RG-254</t>
  </si>
  <si>
    <t>RG-255</t>
  </si>
  <si>
    <t>RG-256</t>
  </si>
  <si>
    <t>RG-257</t>
  </si>
  <si>
    <t>RG-258</t>
  </si>
  <si>
    <t>RG-259</t>
  </si>
  <si>
    <t>RG-260</t>
  </si>
  <si>
    <t>RG-261</t>
  </si>
  <si>
    <t>RG-262</t>
  </si>
  <si>
    <t>RG-263</t>
  </si>
  <si>
    <t>RG-264</t>
  </si>
  <si>
    <t>RG-265</t>
  </si>
  <si>
    <t>RG-266</t>
  </si>
  <si>
    <t>vesu</t>
  </si>
  <si>
    <t>RG-267</t>
  </si>
  <si>
    <t>RG-268</t>
  </si>
  <si>
    <t>RG-269</t>
  </si>
  <si>
    <t>RG-270</t>
  </si>
  <si>
    <t>RG-271</t>
  </si>
  <si>
    <t>RG-272</t>
  </si>
  <si>
    <t>RG-273</t>
  </si>
  <si>
    <t>RG-274</t>
  </si>
  <si>
    <t>RG-275</t>
  </si>
  <si>
    <t>RG-276</t>
  </si>
  <si>
    <t>RG-277</t>
  </si>
  <si>
    <t>RG-278</t>
  </si>
  <si>
    <t>RG-279</t>
  </si>
  <si>
    <t>RG-280</t>
  </si>
  <si>
    <t>RG-281</t>
  </si>
  <si>
    <t>RG-282</t>
  </si>
  <si>
    <t>RG-283</t>
  </si>
  <si>
    <t>RG-284</t>
  </si>
  <si>
    <t>RG-285</t>
  </si>
  <si>
    <t>RG-286</t>
  </si>
  <si>
    <t>RG-287</t>
  </si>
  <si>
    <t>RG-288</t>
  </si>
  <si>
    <t>RG-289</t>
  </si>
  <si>
    <t>RG-290</t>
  </si>
  <si>
    <t>RG-291</t>
  </si>
  <si>
    <t>RG-292</t>
  </si>
  <si>
    <t>RG-293</t>
  </si>
  <si>
    <t>RG-294</t>
  </si>
  <si>
    <t>RG-295</t>
  </si>
  <si>
    <t>RG-296</t>
  </si>
  <si>
    <t>RG-297</t>
  </si>
  <si>
    <t>RG-298</t>
  </si>
  <si>
    <t>RG-299</t>
  </si>
  <si>
    <t>RG-300</t>
  </si>
  <si>
    <t>RG-301</t>
  </si>
  <si>
    <t>RG-302</t>
  </si>
  <si>
    <t>RG-303</t>
  </si>
  <si>
    <t>RG-304</t>
  </si>
  <si>
    <t>RG-305</t>
  </si>
  <si>
    <t>RG-306</t>
  </si>
  <si>
    <t>RG-307</t>
  </si>
  <si>
    <t>RG-308</t>
  </si>
  <si>
    <t>RG-309</t>
  </si>
  <si>
    <t>RG-310</t>
  </si>
  <si>
    <t>RG-311</t>
  </si>
  <si>
    <t>RG-312</t>
  </si>
  <si>
    <t>RG-313</t>
  </si>
  <si>
    <t xml:space="preserve">  RG Residency  </t>
  </si>
  <si>
    <t>RG-314</t>
  </si>
  <si>
    <t>RG-315</t>
  </si>
  <si>
    <t>RG-316</t>
  </si>
  <si>
    <t>RG-317</t>
  </si>
  <si>
    <t>RG-318</t>
  </si>
  <si>
    <t>RG-319</t>
  </si>
  <si>
    <t>RG-320</t>
  </si>
  <si>
    <t>RG-321</t>
  </si>
  <si>
    <t>RG-322</t>
  </si>
  <si>
    <t>RG-323</t>
  </si>
  <si>
    <t>RG-324</t>
  </si>
  <si>
    <t>RG-325</t>
  </si>
  <si>
    <t>RG-326</t>
  </si>
  <si>
    <t>RG-327</t>
  </si>
  <si>
    <t>RG-328</t>
  </si>
  <si>
    <t>RG-329</t>
  </si>
  <si>
    <t>RG-330</t>
  </si>
  <si>
    <t>RG-331</t>
  </si>
  <si>
    <t>RG-332</t>
  </si>
  <si>
    <t>RG-333</t>
  </si>
  <si>
    <t>RG-334</t>
  </si>
  <si>
    <t>RG-335</t>
  </si>
  <si>
    <t>RG-336</t>
  </si>
  <si>
    <t>RG-337</t>
  </si>
  <si>
    <t>RG-338</t>
  </si>
  <si>
    <t>RG-339</t>
  </si>
  <si>
    <t>RG-340</t>
  </si>
  <si>
    <t>RG-341</t>
  </si>
  <si>
    <t>RG-342</t>
  </si>
  <si>
    <t>RG-343</t>
  </si>
  <si>
    <t>RG-344</t>
  </si>
  <si>
    <t>RG-345</t>
  </si>
  <si>
    <t>RG-346</t>
  </si>
  <si>
    <t>RG-347</t>
  </si>
  <si>
    <t>RG-348</t>
  </si>
  <si>
    <t>RG-349</t>
  </si>
  <si>
    <t>RG-350</t>
  </si>
  <si>
    <t>RG-351</t>
  </si>
  <si>
    <t>RG-352</t>
  </si>
  <si>
    <t>RG-353</t>
  </si>
  <si>
    <t>RG-354</t>
  </si>
  <si>
    <t>RG-355</t>
  </si>
  <si>
    <t>RG-356</t>
  </si>
  <si>
    <t>RG-357</t>
  </si>
  <si>
    <t>RG-358</t>
  </si>
  <si>
    <t>RG-359</t>
  </si>
  <si>
    <t>AMIT VERMA</t>
  </si>
  <si>
    <t>RG-360</t>
  </si>
  <si>
    <t>RG-361</t>
  </si>
  <si>
    <t>RG-362</t>
  </si>
  <si>
    <t>RG-363</t>
  </si>
  <si>
    <t>RG-364</t>
  </si>
  <si>
    <t>RG-365</t>
  </si>
  <si>
    <t>RG-366</t>
  </si>
  <si>
    <t>RG-367</t>
  </si>
  <si>
    <t>RG-368</t>
  </si>
  <si>
    <t>RG-369</t>
  </si>
  <si>
    <t>RG-370</t>
  </si>
  <si>
    <t>RG-371</t>
  </si>
  <si>
    <t>RG-372</t>
  </si>
  <si>
    <t>RG-373</t>
  </si>
  <si>
    <t>RG-374</t>
  </si>
  <si>
    <t>RG-375</t>
  </si>
  <si>
    <t>RG-376</t>
  </si>
  <si>
    <t>RG-377</t>
  </si>
  <si>
    <t>RG-378</t>
  </si>
  <si>
    <t>RG-379</t>
  </si>
  <si>
    <t>RG-380</t>
  </si>
  <si>
    <t>RG-381</t>
  </si>
  <si>
    <t>RG-382</t>
  </si>
  <si>
    <t>RG-383</t>
  </si>
  <si>
    <t>RG-384</t>
  </si>
  <si>
    <t>RG-385</t>
  </si>
  <si>
    <t>RG-386</t>
  </si>
  <si>
    <t>RG-387</t>
  </si>
  <si>
    <t>RG-388</t>
  </si>
  <si>
    <t>RG-389</t>
  </si>
  <si>
    <t>RG-390</t>
  </si>
  <si>
    <t>RG-391</t>
  </si>
  <si>
    <t>RG-392</t>
  </si>
  <si>
    <t>RG-393</t>
  </si>
  <si>
    <t>RG-394</t>
  </si>
  <si>
    <t>RG-395</t>
  </si>
  <si>
    <t>RG-396</t>
  </si>
  <si>
    <t>RG-397</t>
  </si>
  <si>
    <t>RG-398</t>
  </si>
  <si>
    <t>RG-399</t>
  </si>
  <si>
    <t>RG-400</t>
  </si>
  <si>
    <t>RG-401</t>
  </si>
  <si>
    <t>RG-402</t>
  </si>
  <si>
    <t>RG-403</t>
  </si>
  <si>
    <t>RG-404</t>
  </si>
  <si>
    <t>RG-405</t>
  </si>
  <si>
    <t>RG-406</t>
  </si>
  <si>
    <t>RG-407</t>
  </si>
  <si>
    <t>RG-408</t>
  </si>
  <si>
    <t>RG-409</t>
  </si>
  <si>
    <t>RG-410</t>
  </si>
  <si>
    <t>RG-411</t>
  </si>
  <si>
    <t>RG-412</t>
  </si>
  <si>
    <t>RG-413</t>
  </si>
  <si>
    <t>RG-414</t>
  </si>
  <si>
    <t>RG-415</t>
  </si>
  <si>
    <t>RG-416</t>
  </si>
  <si>
    <t>RG-417</t>
  </si>
  <si>
    <t>RG-418</t>
  </si>
  <si>
    <t>RG-419</t>
  </si>
  <si>
    <t>RG-420</t>
  </si>
  <si>
    <t>RG-421</t>
  </si>
  <si>
    <t>RG-422</t>
  </si>
  <si>
    <t>RG-423</t>
  </si>
  <si>
    <t>RG-424</t>
  </si>
  <si>
    <t>RG-425</t>
  </si>
  <si>
    <t>RG-426</t>
  </si>
  <si>
    <t>RG-427</t>
  </si>
  <si>
    <t>RG-428</t>
  </si>
  <si>
    <t>RG-429</t>
  </si>
  <si>
    <t>RG-430</t>
  </si>
  <si>
    <t>N/A</t>
  </si>
  <si>
    <t>Days_Overdue</t>
  </si>
  <si>
    <t>Project_Manager</t>
  </si>
  <si>
    <t>Launch_Year</t>
  </si>
  <si>
    <t>Sneha Kapoor</t>
  </si>
  <si>
    <t>Raj Malhotra</t>
  </si>
  <si>
    <t>Priya Nair</t>
  </si>
  <si>
    <t>Performance_Rating</t>
  </si>
  <si>
    <t>Project Name</t>
  </si>
  <si>
    <t>Total Revenue</t>
  </si>
  <si>
    <t>Payment Status</t>
  </si>
  <si>
    <t>Count</t>
  </si>
  <si>
    <t>Flat Type</t>
  </si>
  <si>
    <t>Sales Executive</t>
  </si>
  <si>
    <t>Total Bookings</t>
  </si>
  <si>
    <t>Performance Rating</t>
  </si>
  <si>
    <t>% Achieved</t>
  </si>
  <si>
    <t>Status</t>
  </si>
  <si>
    <t>Excellent</t>
  </si>
  <si>
    <t>Below Target</t>
  </si>
  <si>
    <t>Annual Target</t>
  </si>
  <si>
    <t>Annual Revenue</t>
  </si>
  <si>
    <t>Row Labels</t>
  </si>
  <si>
    <t>Grand Total</t>
  </si>
  <si>
    <t>Count of Booking_ID</t>
  </si>
  <si>
    <t>Sum of Booking_Amount</t>
  </si>
  <si>
    <t>N\A</t>
  </si>
  <si>
    <t>Monthly Target</t>
  </si>
  <si>
    <t>Revenue This Month</t>
  </si>
  <si>
    <t>Today's Revenue</t>
  </si>
  <si>
    <t>Daily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</si>
</sst>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0" fontId="0" fillId="0" borderId="10" xfId="0" applyBorder="1"/>
    <xf numFmtId="0" fontId="16" fillId="0" borderId="10" xfId="0" applyFont="1" applyBorder="1"/>
    <xf numFmtId="9" fontId="0" fillId="0" borderId="10" xfId="42" applyFont="1" applyBorder="1"/>
    <xf numFmtId="0" fontId="0" fillId="0" borderId="0" xfId="0" pivotButton="1"/>
    <xf numFmtId="0" fontId="0" fillId="0" borderId="0" xfId="0" applyAlignment="1">
      <alignment horizontal="left"/>
    </xf>
    <xf numFmtId="22" fontId="0" fillId="0" borderId="0" xfId="0" applyNumberFormat="1"/>
    <xf numFmtId="0" fontId="7" fillId="3" borderId="0" xfId="7"/>
    <xf numFmtId="0" fontId="6" fillId="2" borderId="0" xfId="6"/>
    <xf numFmtId="9" fontId="0" fillId="0" borderId="0" xfId="42"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39994506668294322"/>
        </patternFill>
      </fill>
    </dxf>
    <dxf>
      <fill>
        <patternFill>
          <bgColor rgb="FFFFFF00"/>
        </patternFill>
      </fill>
    </dxf>
    <dxf>
      <numFmt numFmtId="164" formatCode="[$-409]d\-mmm\-yyyy;@"/>
    </dxf>
    <dxf>
      <numFmt numFmtId="164" formatCode="[$-409]d\-mmm\-yyyy;@"/>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1</xdr:row>
      <xdr:rowOff>160021</xdr:rowOff>
    </xdr:from>
    <xdr:to>
      <xdr:col>6</xdr:col>
      <xdr:colOff>22860</xdr:colOff>
      <xdr:row>8</xdr:row>
      <xdr:rowOff>175260</xdr:rowOff>
    </xdr:to>
    <mc:AlternateContent xmlns:mc="http://schemas.openxmlformats.org/markup-compatibility/2006" xmlns:a14="http://schemas.microsoft.com/office/drawing/2010/main">
      <mc:Choice Requires="a14">
        <xdr:graphicFrame macro="">
          <xdr:nvGraphicFramePr>
            <xdr:cNvPr id="2" name="Payment_Status">
              <a:extLst>
                <a:ext uri="{FF2B5EF4-FFF2-40B4-BE49-F238E27FC236}">
                  <a16:creationId xmlns:a16="http://schemas.microsoft.com/office/drawing/2014/main" id="{C01E7CB0-AA82-3D25-95AA-99E5473A8D49}"/>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2926080" y="342901"/>
              <a:ext cx="182880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oj" refreshedDate="46112.559729629633" createdVersion="8" refreshedVersion="8" minRefreshableVersion="3" recordCount="430" xr:uid="{1D51B329-4EB9-4AB7-B322-427E67EEE430}">
  <cacheSource type="worksheet">
    <worksheetSource ref="A1:P431" sheet="Cleaned Data"/>
  </cacheSource>
  <cacheFields count="16">
    <cacheField name="Booking_ID" numFmtId="0">
      <sharedItems/>
    </cacheField>
    <cacheField name="Booking_Date" numFmtId="164">
      <sharedItems containsSemiMixedTypes="0" containsNonDate="0" containsDate="1" containsString="0" minDate="2024-01-01T00:00:00" maxDate="2024-12-31T00:00:00"/>
    </cacheField>
    <cacheField name="Sales_Executive" numFmtId="0">
      <sharedItems/>
    </cacheField>
    <cacheField name="Project_Name" numFmtId="0">
      <sharedItems count="3">
        <s v="RG Residency"/>
        <s v="RG Heights"/>
        <s v="RG Greens"/>
      </sharedItems>
    </cacheField>
    <cacheField name="Location" numFmtId="0">
      <sharedItems count="3">
        <s v="Adajan"/>
        <s v="Bopal"/>
        <s v="Vesu"/>
      </sharedItems>
    </cacheField>
    <cacheField name="Flat_Type" numFmtId="0">
      <sharedItems/>
    </cacheField>
    <cacheField name="Booking_Amount" numFmtId="0">
      <sharedItems containsSemiMixedTypes="0" containsString="0" containsNumber="1" containsInteger="1" minValue="2500000" maxValue="13900000"/>
    </cacheField>
    <cacheField name="Amount_Received" numFmtId="0">
      <sharedItems containsSemiMixedTypes="0" containsString="0" containsNumber="1" containsInteger="1" minValue="0" maxValue="13450000"/>
    </cacheField>
    <cacheField name="Payment_Status" numFmtId="0">
      <sharedItems count="3">
        <s v="Cancelled"/>
        <s v="Confirmed"/>
        <s v="Pending"/>
      </sharedItems>
    </cacheField>
    <cacheField name="Possession_Date" numFmtId="164">
      <sharedItems containsSemiMixedTypes="0" containsNonDate="0" containsDate="1" containsString="0" minDate="2024-07-11T00:00:00" maxDate="2027-06-15T00:00:00"/>
    </cacheField>
    <cacheField name="Sales_Target" numFmtId="0">
      <sharedItems containsSemiMixedTypes="0" containsString="0" containsNumber="1" containsInteger="1" minValue="7000000" maxValue="9000000"/>
    </cacheField>
    <cacheField name="Remarks" numFmtId="0">
      <sharedItems/>
    </cacheField>
    <cacheField name="Days_Overdue" numFmtId="0">
      <sharedItems containsSemiMixedTypes="0" containsString="0" containsNumber="1" containsInteger="1" minValue="0" maxValue="819"/>
    </cacheField>
    <cacheField name="Project_Manager" numFmtId="0">
      <sharedItems/>
    </cacheField>
    <cacheField name="Launch_Year" numFmtId="0">
      <sharedItems containsSemiMixedTypes="0" containsString="0" containsNumber="1" containsInteger="1" minValue="2021" maxValue="2023"/>
    </cacheField>
    <cacheField name="Performance_Rating" numFmtId="0">
      <sharedItems/>
    </cacheField>
  </cacheFields>
  <extLst>
    <ext xmlns:x14="http://schemas.microsoft.com/office/spreadsheetml/2009/9/main" uri="{725AE2AE-9491-48be-B2B4-4EB974FC3084}">
      <x14:pivotCacheDefinition pivotCacheId="1677826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0">
  <r>
    <s v="RG-001"/>
    <d v="2024-10-10T00:00:00"/>
    <s v="Pooja Desai"/>
    <x v="0"/>
    <x v="0"/>
    <s v="2BHK"/>
    <n v="5900000"/>
    <n v="0"/>
    <x v="0"/>
    <d v="2026-03-01T00:00:00"/>
    <n v="8500000"/>
    <s v="Builder referral"/>
    <n v="0"/>
    <s v="Sneha Kapoor"/>
    <n v="2021"/>
    <s v="N/A"/>
  </r>
  <r>
    <s v="RG-002"/>
    <d v="2024-08-04T00:00:00"/>
    <s v="Pooja Desai"/>
    <x v="0"/>
    <x v="0"/>
    <s v="2BHK"/>
    <n v="4200000"/>
    <n v="4200000"/>
    <x v="1"/>
    <d v="2025-04-21T00:00:00"/>
    <n v="8500000"/>
    <s v="N/A"/>
    <n v="0"/>
    <s v="Sneha Kapoor"/>
    <n v="2021"/>
    <s v="Excellent"/>
  </r>
  <r>
    <s v="RG-003"/>
    <d v="2024-04-05T00:00:00"/>
    <s v="Ravi Patel"/>
    <x v="1"/>
    <x v="1"/>
    <s v="1BHK"/>
    <n v="3500000"/>
    <n v="900000"/>
    <x v="2"/>
    <d v="2026-03-05T00:00:00"/>
    <n v="8000000"/>
    <s v="N/A"/>
    <n v="724"/>
    <s v="Raj Malhotra"/>
    <n v="2022"/>
    <s v="Below Target"/>
  </r>
  <r>
    <s v="RG-004"/>
    <d v="2024-01-11T00:00:00"/>
    <s v="Karan Mehta"/>
    <x v="0"/>
    <x v="0"/>
    <s v="2BHK"/>
    <n v="5400000"/>
    <n v="5400000"/>
    <x v="1"/>
    <d v="2026-02-06T00:00:00"/>
    <n v="7000000"/>
    <s v="Online inquiry"/>
    <n v="0"/>
    <s v="Sneha Kapoor"/>
    <n v="2021"/>
    <s v="Excellent"/>
  </r>
  <r>
    <s v="RG-005"/>
    <d v="2024-09-20T00:00:00"/>
    <s v="Meena Shah"/>
    <x v="1"/>
    <x v="1"/>
    <s v="2BHK"/>
    <n v="5150000"/>
    <n v="5150000"/>
    <x v="1"/>
    <d v="2026-10-24T00:00:00"/>
    <n v="7500000"/>
    <s v="N/A"/>
    <n v="0"/>
    <s v="Raj Malhotra"/>
    <n v="2022"/>
    <s v="Excellent"/>
  </r>
  <r>
    <s v="RG-006"/>
    <d v="2024-07-12T00:00:00"/>
    <s v="Pooja Desai"/>
    <x v="0"/>
    <x v="0"/>
    <s v="3BHK"/>
    <n v="7950000"/>
    <n v="7950000"/>
    <x v="1"/>
    <d v="2025-07-09T00:00:00"/>
    <n v="8500000"/>
    <s v="N/A"/>
    <n v="0"/>
    <s v="Sneha Kapoor"/>
    <n v="2021"/>
    <s v="Excellent"/>
  </r>
  <r>
    <s v="RG-007"/>
    <d v="2024-08-15T00:00:00"/>
    <s v="Amit Verma"/>
    <x v="0"/>
    <x v="0"/>
    <s v="2BHK"/>
    <n v="4200000"/>
    <n v="4200000"/>
    <x v="1"/>
    <d v="2026-04-28T00:00:00"/>
    <n v="9000000"/>
    <s v="N/A"/>
    <n v="0"/>
    <s v="Sneha Kapoor"/>
    <n v="2021"/>
    <s v="Excellent"/>
  </r>
  <r>
    <s v="RG-008"/>
    <d v="2024-08-11T00:00:00"/>
    <s v="Pooja Desai"/>
    <x v="1"/>
    <x v="1"/>
    <s v="2BHK"/>
    <n v="4400000"/>
    <n v="1350000"/>
    <x v="2"/>
    <d v="2026-02-18T00:00:00"/>
    <n v="8500000"/>
    <s v="N/A"/>
    <n v="596"/>
    <s v="Raj Malhotra"/>
    <n v="2022"/>
    <s v="Below Target"/>
  </r>
  <r>
    <s v="RG-009"/>
    <d v="2024-09-09T00:00:00"/>
    <s v="Meena Shah"/>
    <x v="1"/>
    <x v="1"/>
    <s v="2BHK"/>
    <n v="4900000"/>
    <n v="4900000"/>
    <x v="1"/>
    <d v="2026-07-16T00:00:00"/>
    <n v="7500000"/>
    <s v="NRI buyer"/>
    <n v="0"/>
    <s v="Raj Malhotra"/>
    <n v="2022"/>
    <s v="Excellent"/>
  </r>
  <r>
    <s v="RG-010"/>
    <d v="2024-06-19T00:00:00"/>
    <s v="Meena Shah"/>
    <x v="0"/>
    <x v="0"/>
    <s v="3BHK"/>
    <n v="8650000"/>
    <n v="8650000"/>
    <x v="1"/>
    <d v="2025-12-08T00:00:00"/>
    <n v="7500000"/>
    <s v="Repeat client"/>
    <n v="0"/>
    <s v="Sneha Kapoor"/>
    <n v="2021"/>
    <s v="Excellent"/>
  </r>
  <r>
    <s v="RG-011"/>
    <d v="2024-08-25T00:00:00"/>
    <s v="Amit Verma"/>
    <x v="0"/>
    <x v="0"/>
    <s v="2BHK"/>
    <n v="5700000"/>
    <n v="0"/>
    <x v="0"/>
    <d v="2025-12-29T00:00:00"/>
    <n v="9000000"/>
    <s v="Referred by agent"/>
    <n v="0"/>
    <s v="Sneha Kapoor"/>
    <n v="2021"/>
    <s v="N/A"/>
  </r>
  <r>
    <s v="RG-012"/>
    <d v="2024-08-20T00:00:00"/>
    <s v="Amit Verma"/>
    <x v="2"/>
    <x v="2"/>
    <s v="2BHK"/>
    <n v="5250000"/>
    <n v="1800000"/>
    <x v="2"/>
    <d v="2026-03-03T00:00:00"/>
    <n v="9000000"/>
    <s v="NRI buyer"/>
    <n v="587"/>
    <s v="Priya Nair"/>
    <n v="2023"/>
    <s v="Below Target"/>
  </r>
  <r>
    <s v="RG-013"/>
    <d v="2024-06-28T00:00:00"/>
    <s v="Pooja Desai"/>
    <x v="1"/>
    <x v="1"/>
    <s v="3BHK"/>
    <n v="8300000"/>
    <n v="8300000"/>
    <x v="1"/>
    <d v="2026-10-10T00:00:00"/>
    <n v="8500000"/>
    <s v="Referred by agent"/>
    <n v="0"/>
    <s v="Raj Malhotra"/>
    <n v="2022"/>
    <s v="Excellent"/>
  </r>
  <r>
    <s v="RG-014"/>
    <d v="2024-05-16T00:00:00"/>
    <s v="Karan Mehta"/>
    <x v="2"/>
    <x v="2"/>
    <s v="1BHK"/>
    <n v="3300000"/>
    <n v="3300000"/>
    <x v="1"/>
    <d v="2026-06-24T00:00:00"/>
    <n v="7000000"/>
    <s v="N/A"/>
    <n v="0"/>
    <s v="Priya Nair"/>
    <n v="2023"/>
    <s v="Excellent"/>
  </r>
  <r>
    <s v="RG-015"/>
    <d v="2024-03-14T00:00:00"/>
    <s v="Amit Verma"/>
    <x v="1"/>
    <x v="1"/>
    <s v="3BHK"/>
    <n v="8950000"/>
    <n v="3300000"/>
    <x v="2"/>
    <d v="2025-10-23T00:00:00"/>
    <n v="9000000"/>
    <s v="Repeat client"/>
    <n v="746"/>
    <s v="Raj Malhotra"/>
    <n v="2022"/>
    <s v="Below Target"/>
  </r>
  <r>
    <s v="RG-016"/>
    <d v="2024-10-09T00:00:00"/>
    <s v="Pooja Desai"/>
    <x v="1"/>
    <x v="1"/>
    <s v="3BHK"/>
    <n v="7700000"/>
    <n v="7700000"/>
    <x v="1"/>
    <d v="2026-09-03T00:00:00"/>
    <n v="8500000"/>
    <s v="N/A"/>
    <n v="0"/>
    <s v="Raj Malhotra"/>
    <n v="2022"/>
    <s v="Excellent"/>
  </r>
  <r>
    <s v="RG-017"/>
    <d v="2024-10-03T00:00:00"/>
    <s v="Karan Mehta"/>
    <x v="1"/>
    <x v="1"/>
    <s v="4BHK"/>
    <n v="10600000"/>
    <n v="2250000"/>
    <x v="2"/>
    <d v="2025-09-14T00:00:00"/>
    <n v="7000000"/>
    <s v="Walk-in customer"/>
    <n v="543"/>
    <s v="Raj Malhotra"/>
    <n v="2022"/>
    <s v="Below Target"/>
  </r>
  <r>
    <s v="RG-018"/>
    <d v="2024-01-22T00:00:00"/>
    <s v="Pooja Desai"/>
    <x v="1"/>
    <x v="1"/>
    <s v="1BHK"/>
    <n v="3250000"/>
    <n v="0"/>
    <x v="0"/>
    <d v="2025-03-30T00:00:00"/>
    <n v="8500000"/>
    <s v="Builder referral"/>
    <n v="0"/>
    <s v="Raj Malhotra"/>
    <n v="2022"/>
    <s v="N/A"/>
  </r>
  <r>
    <s v="RG-019"/>
    <d v="2024-08-18T00:00:00"/>
    <s v="Karan Mehta"/>
    <x v="0"/>
    <x v="0"/>
    <s v="2BHK"/>
    <n v="4600000"/>
    <n v="0"/>
    <x v="0"/>
    <d v="2025-11-30T00:00:00"/>
    <n v="7000000"/>
    <s v="N/A"/>
    <n v="0"/>
    <s v="Sneha Kapoor"/>
    <n v="2021"/>
    <s v="N/A"/>
  </r>
  <r>
    <s v="RG-020"/>
    <d v="2024-05-15T00:00:00"/>
    <s v="Pooja Desai"/>
    <x v="1"/>
    <x v="1"/>
    <s v="2BHK"/>
    <n v="4650000"/>
    <n v="4650000"/>
    <x v="1"/>
    <d v="2024-11-20T00:00:00"/>
    <n v="8500000"/>
    <s v="N/A"/>
    <n v="0"/>
    <s v="Raj Malhotra"/>
    <n v="2022"/>
    <s v="Excellent"/>
  </r>
  <r>
    <s v="RG-021"/>
    <d v="2024-10-31T00:00:00"/>
    <s v="Ravi Patel"/>
    <x v="0"/>
    <x v="0"/>
    <s v="3BHK"/>
    <n v="8000000"/>
    <n v="8000000"/>
    <x v="1"/>
    <d v="2027-02-20T00:00:00"/>
    <n v="8000000"/>
    <s v="Referred by agent"/>
    <n v="0"/>
    <s v="Sneha Kapoor"/>
    <n v="2021"/>
    <s v="Excellent"/>
  </r>
  <r>
    <s v="RG-022"/>
    <d v="2024-02-09T00:00:00"/>
    <s v="Karan Mehta"/>
    <x v="0"/>
    <x v="0"/>
    <s v="2BHK"/>
    <n v="4450000"/>
    <n v="1750000"/>
    <x v="2"/>
    <d v="2025-09-21T00:00:00"/>
    <n v="7000000"/>
    <s v="NRI buyer"/>
    <n v="780"/>
    <s v="Sneha Kapoor"/>
    <n v="2021"/>
    <s v="Below Target"/>
  </r>
  <r>
    <s v="RG-023"/>
    <d v="2024-08-28T00:00:00"/>
    <s v="Pooja Desai"/>
    <x v="0"/>
    <x v="0"/>
    <s v="1BHK"/>
    <n v="2750000"/>
    <n v="350000"/>
    <x v="2"/>
    <d v="2025-05-01T00:00:00"/>
    <n v="8500000"/>
    <s v="N/A"/>
    <n v="579"/>
    <s v="Sneha Kapoor"/>
    <n v="2021"/>
    <s v="Below Target"/>
  </r>
  <r>
    <s v="RG-024"/>
    <d v="2024-03-27T00:00:00"/>
    <s v="Amit Verma"/>
    <x v="1"/>
    <x v="1"/>
    <s v="2BHK"/>
    <n v="5200000"/>
    <n v="5200000"/>
    <x v="1"/>
    <d v="2026-03-03T00:00:00"/>
    <n v="9000000"/>
    <s v="NRI buyer"/>
    <n v="0"/>
    <s v="Raj Malhotra"/>
    <n v="2022"/>
    <s v="Excellent"/>
  </r>
  <r>
    <s v="RG-025"/>
    <d v="2024-11-23T00:00:00"/>
    <s v="Ravi Patel"/>
    <x v="1"/>
    <x v="1"/>
    <s v="2BHK"/>
    <n v="4450000"/>
    <n v="4450000"/>
    <x v="1"/>
    <d v="2025-09-03T00:00:00"/>
    <n v="8000000"/>
    <s v="N/A"/>
    <n v="0"/>
    <s v="Raj Malhotra"/>
    <n v="2022"/>
    <s v="Excellent"/>
  </r>
  <r>
    <s v="RG-026"/>
    <d v="2024-09-15T00:00:00"/>
    <s v="Pooja Desai"/>
    <x v="1"/>
    <x v="1"/>
    <s v="4BHK"/>
    <n v="10500000"/>
    <n v="10500000"/>
    <x v="1"/>
    <d v="2025-06-21T00:00:00"/>
    <n v="8500000"/>
    <s v="N/A"/>
    <n v="0"/>
    <s v="Raj Malhotra"/>
    <n v="2022"/>
    <s v="Excellent"/>
  </r>
  <r>
    <s v="RG-027"/>
    <d v="2024-01-05T00:00:00"/>
    <s v="Ravi Patel"/>
    <x v="0"/>
    <x v="0"/>
    <s v="3BHK"/>
    <n v="6650000"/>
    <n v="6650000"/>
    <x v="1"/>
    <d v="2026-02-19T00:00:00"/>
    <n v="8000000"/>
    <s v="N/A"/>
    <n v="0"/>
    <s v="Sneha Kapoor"/>
    <n v="2021"/>
    <s v="Excellent"/>
  </r>
  <r>
    <s v="RG-028"/>
    <d v="2024-10-07T00:00:00"/>
    <s v="Karan Mehta"/>
    <x v="1"/>
    <x v="1"/>
    <s v="4BHK"/>
    <n v="12400000"/>
    <n v="0"/>
    <x v="0"/>
    <d v="2025-05-24T00:00:00"/>
    <n v="7000000"/>
    <s v="Referred by agent"/>
    <n v="0"/>
    <s v="Raj Malhotra"/>
    <n v="2022"/>
    <s v="N/A"/>
  </r>
  <r>
    <s v="RG-029"/>
    <d v="2024-07-23T00:00:00"/>
    <s v="Meena Shah"/>
    <x v="2"/>
    <x v="2"/>
    <s v="3BHK"/>
    <n v="6950000"/>
    <n v="6950000"/>
    <x v="1"/>
    <d v="2025-09-23T00:00:00"/>
    <n v="7500000"/>
    <s v="N/A"/>
    <n v="0"/>
    <s v="Priya Nair"/>
    <n v="2023"/>
    <s v="Excellent"/>
  </r>
  <r>
    <s v="RG-030"/>
    <d v="2024-04-12T00:00:00"/>
    <s v="Ravi Patel"/>
    <x v="0"/>
    <x v="0"/>
    <s v="3BHK"/>
    <n v="7700000"/>
    <n v="7700000"/>
    <x v="1"/>
    <d v="2026-02-05T00:00:00"/>
    <n v="8000000"/>
    <s v="NRI buyer"/>
    <n v="0"/>
    <s v="Sneha Kapoor"/>
    <n v="2021"/>
    <s v="Excellent"/>
  </r>
  <r>
    <s v="RG-031"/>
    <d v="2024-01-14T00:00:00"/>
    <s v="Karan Mehta"/>
    <x v="2"/>
    <x v="2"/>
    <s v="2BHK"/>
    <n v="4050000"/>
    <n v="4050000"/>
    <x v="1"/>
    <d v="2025-04-17T00:00:00"/>
    <n v="7000000"/>
    <s v="Builder referral"/>
    <n v="0"/>
    <s v="Priya Nair"/>
    <n v="2023"/>
    <s v="Excellent"/>
  </r>
  <r>
    <s v="RG-032"/>
    <d v="2024-12-29T00:00:00"/>
    <s v="Meena Shah"/>
    <x v="0"/>
    <x v="0"/>
    <s v="3BHK"/>
    <n v="8200000"/>
    <n v="8200000"/>
    <x v="1"/>
    <d v="2026-02-12T00:00:00"/>
    <n v="7500000"/>
    <s v="NRI buyer"/>
    <n v="0"/>
    <s v="Sneha Kapoor"/>
    <n v="2021"/>
    <s v="Excellent"/>
  </r>
  <r>
    <s v="RG-033"/>
    <d v="2024-07-06T00:00:00"/>
    <s v="Ravi Patel"/>
    <x v="0"/>
    <x v="0"/>
    <s v="2BHK"/>
    <n v="5150000"/>
    <n v="5150000"/>
    <x v="1"/>
    <d v="2025-03-18T00:00:00"/>
    <n v="8000000"/>
    <s v="N/A"/>
    <n v="0"/>
    <s v="Sneha Kapoor"/>
    <n v="2021"/>
    <s v="Excellent"/>
  </r>
  <r>
    <s v="RG-034"/>
    <d v="2024-06-02T00:00:00"/>
    <s v="Meena Shah"/>
    <x v="1"/>
    <x v="1"/>
    <s v="3BHK"/>
    <n v="8750000"/>
    <n v="8750000"/>
    <x v="1"/>
    <d v="2025-12-27T00:00:00"/>
    <n v="7500000"/>
    <s v="Walk-in customer"/>
    <n v="0"/>
    <s v="Raj Malhotra"/>
    <n v="2022"/>
    <s v="Excellent"/>
  </r>
  <r>
    <s v="RG-035"/>
    <d v="2024-06-29T00:00:00"/>
    <s v="Ravi Patel"/>
    <x v="0"/>
    <x v="0"/>
    <s v="2BHK"/>
    <n v="5400000"/>
    <n v="900000"/>
    <x v="2"/>
    <d v="2025-04-15T00:00:00"/>
    <n v="8000000"/>
    <s v="Repeat client"/>
    <n v="639"/>
    <s v="Sneha Kapoor"/>
    <n v="2021"/>
    <s v="Below Target"/>
  </r>
  <r>
    <s v="RG-036"/>
    <d v="2024-08-18T00:00:00"/>
    <s v="Amit Verma"/>
    <x v="0"/>
    <x v="0"/>
    <s v="1BHK"/>
    <n v="2800000"/>
    <n v="850000"/>
    <x v="2"/>
    <d v="2026-10-24T00:00:00"/>
    <n v="9000000"/>
    <s v="Referred by agent"/>
    <n v="589"/>
    <s v="Sneha Kapoor"/>
    <n v="2021"/>
    <s v="Below Target"/>
  </r>
  <r>
    <s v="RG-037"/>
    <d v="2024-07-29T00:00:00"/>
    <s v="Amit Verma"/>
    <x v="1"/>
    <x v="1"/>
    <s v="4BHK"/>
    <n v="9950000"/>
    <n v="9950000"/>
    <x v="1"/>
    <d v="2026-10-01T00:00:00"/>
    <n v="9000000"/>
    <s v="Builder referral"/>
    <n v="0"/>
    <s v="Raj Malhotra"/>
    <n v="2022"/>
    <s v="Excellent"/>
  </r>
  <r>
    <s v="RG-038"/>
    <d v="2024-04-27T00:00:00"/>
    <s v="Pooja Desai"/>
    <x v="0"/>
    <x v="0"/>
    <s v="1BHK"/>
    <n v="2850000"/>
    <n v="2850000"/>
    <x v="1"/>
    <d v="2025-08-26T00:00:00"/>
    <n v="8500000"/>
    <s v="Walk-in customer"/>
    <n v="0"/>
    <s v="Sneha Kapoor"/>
    <n v="2021"/>
    <s v="Excellent"/>
  </r>
  <r>
    <s v="RG-039"/>
    <d v="2024-08-14T00:00:00"/>
    <s v="Pooja Desai"/>
    <x v="1"/>
    <x v="1"/>
    <s v="2BHK"/>
    <n v="4550000"/>
    <n v="4550000"/>
    <x v="1"/>
    <d v="2026-07-19T00:00:00"/>
    <n v="8500000"/>
    <s v="NRI buyer"/>
    <n v="0"/>
    <s v="Raj Malhotra"/>
    <n v="2022"/>
    <s v="Excellent"/>
  </r>
  <r>
    <s v="RG-040"/>
    <d v="2024-03-05T00:00:00"/>
    <s v="Karan Mehta"/>
    <x v="0"/>
    <x v="0"/>
    <s v="3BHK"/>
    <n v="7400000"/>
    <n v="7400000"/>
    <x v="1"/>
    <d v="2025-08-03T00:00:00"/>
    <n v="7000000"/>
    <s v="Walk-in customer"/>
    <n v="0"/>
    <s v="Sneha Kapoor"/>
    <n v="2021"/>
    <s v="Excellent"/>
  </r>
  <r>
    <s v="RG-041"/>
    <d v="2024-08-05T00:00:00"/>
    <s v="Meena Shah"/>
    <x v="1"/>
    <x v="1"/>
    <s v="1BHK"/>
    <n v="3100000"/>
    <n v="3100000"/>
    <x v="1"/>
    <d v="2025-06-05T00:00:00"/>
    <n v="7500000"/>
    <s v="N/A"/>
    <n v="0"/>
    <s v="Raj Malhotra"/>
    <n v="2022"/>
    <s v="Excellent"/>
  </r>
  <r>
    <s v="RG-042"/>
    <d v="2024-02-09T00:00:00"/>
    <s v="Ravi Patel"/>
    <x v="1"/>
    <x v="1"/>
    <s v="2BHK"/>
    <n v="5200000"/>
    <n v="2000000"/>
    <x v="2"/>
    <d v="2024-09-18T00:00:00"/>
    <n v="8000000"/>
    <s v="N/A"/>
    <n v="780"/>
    <s v="Raj Malhotra"/>
    <n v="2022"/>
    <s v="Below Target"/>
  </r>
  <r>
    <s v="RG-043"/>
    <d v="2024-04-22T00:00:00"/>
    <s v="Meena Shah"/>
    <x v="0"/>
    <x v="0"/>
    <s v="4BHK"/>
    <n v="9900000"/>
    <n v="9900000"/>
    <x v="1"/>
    <d v="2025-03-24T00:00:00"/>
    <n v="7500000"/>
    <s v="Walk-in customer"/>
    <n v="0"/>
    <s v="Sneha Kapoor"/>
    <n v="2021"/>
    <s v="Excellent"/>
  </r>
  <r>
    <s v="RG-044"/>
    <d v="2024-01-26T00:00:00"/>
    <s v="Karan Mehta"/>
    <x v="0"/>
    <x v="0"/>
    <s v="1BHK"/>
    <n v="3050000"/>
    <n v="3050000"/>
    <x v="1"/>
    <d v="2025-01-30T00:00:00"/>
    <n v="7000000"/>
    <s v="NRI buyer"/>
    <n v="0"/>
    <s v="Sneha Kapoor"/>
    <n v="2021"/>
    <s v="Excellent"/>
  </r>
  <r>
    <s v="RG-045"/>
    <d v="2024-09-22T00:00:00"/>
    <s v="Pooja Desai"/>
    <x v="0"/>
    <x v="0"/>
    <s v="3BHK"/>
    <n v="8350000"/>
    <n v="0"/>
    <x v="0"/>
    <d v="2026-08-06T00:00:00"/>
    <n v="8500000"/>
    <s v="NRI buyer"/>
    <n v="0"/>
    <s v="Sneha Kapoor"/>
    <n v="2021"/>
    <s v="N/A"/>
  </r>
  <r>
    <s v="RG-046"/>
    <d v="2024-06-17T00:00:00"/>
    <s v="Amit Verma"/>
    <x v="1"/>
    <x v="1"/>
    <s v="2BHK"/>
    <n v="5350000"/>
    <n v="1200000"/>
    <x v="2"/>
    <d v="2026-06-16T00:00:00"/>
    <n v="9000000"/>
    <s v="Repeat client"/>
    <n v="651"/>
    <s v="Raj Malhotra"/>
    <n v="2022"/>
    <s v="Below Target"/>
  </r>
  <r>
    <s v="RG-047"/>
    <d v="2024-05-25T00:00:00"/>
    <s v="Ravi Patel"/>
    <x v="1"/>
    <x v="1"/>
    <s v="2BHK"/>
    <n v="5900000"/>
    <n v="850000"/>
    <x v="2"/>
    <d v="2026-02-11T00:00:00"/>
    <n v="8000000"/>
    <s v="NRI buyer"/>
    <n v="674"/>
    <s v="Raj Malhotra"/>
    <n v="2022"/>
    <s v="Below Target"/>
  </r>
  <r>
    <s v="RG-048"/>
    <d v="2024-08-20T00:00:00"/>
    <s v="Amit Verma"/>
    <x v="1"/>
    <x v="1"/>
    <s v="2BHK"/>
    <n v="5400000"/>
    <n v="5400000"/>
    <x v="1"/>
    <d v="2027-02-04T00:00:00"/>
    <n v="9000000"/>
    <s v="NRI buyer"/>
    <n v="0"/>
    <s v="Raj Malhotra"/>
    <n v="2022"/>
    <s v="Excellent"/>
  </r>
  <r>
    <s v="RG-049"/>
    <d v="2024-12-26T00:00:00"/>
    <s v="Amit Verma"/>
    <x v="2"/>
    <x v="2"/>
    <s v="2BHK"/>
    <n v="4750000"/>
    <n v="800000"/>
    <x v="2"/>
    <d v="2025-11-07T00:00:00"/>
    <n v="9000000"/>
    <s v="N/A"/>
    <n v="459"/>
    <s v="Priya Nair"/>
    <n v="2023"/>
    <s v="Below Target"/>
  </r>
  <r>
    <s v="RG-050"/>
    <d v="2024-05-31T00:00:00"/>
    <s v="Ravi Patel"/>
    <x v="0"/>
    <x v="0"/>
    <s v="2BHK"/>
    <n v="4800000"/>
    <n v="4800000"/>
    <x v="2"/>
    <d v="2025-07-31T00:00:00"/>
    <n v="8000000"/>
    <s v="N/A"/>
    <n v="668"/>
    <s v="Sneha Kapoor"/>
    <n v="2021"/>
    <s v="Excellent"/>
  </r>
  <r>
    <s v="RG-051"/>
    <d v="2024-10-28T00:00:00"/>
    <s v="Karan Mehta"/>
    <x v="0"/>
    <x v="0"/>
    <s v="4BHK"/>
    <n v="11150000"/>
    <n v="11150000"/>
    <x v="1"/>
    <d v="2025-12-14T00:00:00"/>
    <n v="7000000"/>
    <s v="Repeat client"/>
    <n v="0"/>
    <s v="Sneha Kapoor"/>
    <n v="2021"/>
    <s v="Excellent"/>
  </r>
  <r>
    <s v="RG-052"/>
    <d v="2024-05-05T00:00:00"/>
    <s v="Ravi Patel"/>
    <x v="0"/>
    <x v="0"/>
    <s v="3BHK"/>
    <n v="7400000"/>
    <n v="7400000"/>
    <x v="1"/>
    <d v="2025-03-24T00:00:00"/>
    <n v="8000000"/>
    <s v="N/A"/>
    <n v="0"/>
    <s v="Sneha Kapoor"/>
    <n v="2021"/>
    <s v="Excellent"/>
  </r>
  <r>
    <s v="RG-053"/>
    <d v="2024-07-10T00:00:00"/>
    <s v="Pooja Desai"/>
    <x v="1"/>
    <x v="1"/>
    <s v="3BHK"/>
    <n v="7250000"/>
    <n v="7250000"/>
    <x v="1"/>
    <d v="2025-07-04T00:00:00"/>
    <n v="8500000"/>
    <s v="NRI buyer"/>
    <n v="0"/>
    <s v="Raj Malhotra"/>
    <n v="2022"/>
    <s v="Excellent"/>
  </r>
  <r>
    <s v="RG-054"/>
    <d v="2024-05-16T00:00:00"/>
    <s v="Ravi Patel"/>
    <x v="0"/>
    <x v="0"/>
    <s v="2BHK"/>
    <n v="5250000"/>
    <n v="5250000"/>
    <x v="1"/>
    <d v="2026-05-24T00:00:00"/>
    <n v="8000000"/>
    <s v="Builder referral"/>
    <n v="0"/>
    <s v="Sneha Kapoor"/>
    <n v="2021"/>
    <s v="Excellent"/>
  </r>
  <r>
    <s v="RG-055"/>
    <d v="2024-03-31T00:00:00"/>
    <s v="Pooja Desai"/>
    <x v="1"/>
    <x v="1"/>
    <s v="4BHK"/>
    <n v="12950000"/>
    <n v="0"/>
    <x v="0"/>
    <d v="2025-06-08T00:00:00"/>
    <n v="8500000"/>
    <s v="Builder referral"/>
    <n v="0"/>
    <s v="Raj Malhotra"/>
    <n v="2022"/>
    <s v="N/A"/>
  </r>
  <r>
    <s v="RG-056"/>
    <d v="2024-12-11T00:00:00"/>
    <s v="Meena Shah"/>
    <x v="1"/>
    <x v="1"/>
    <s v="3BHK"/>
    <n v="7450000"/>
    <n v="0"/>
    <x v="0"/>
    <d v="2025-08-12T00:00:00"/>
    <n v="7500000"/>
    <s v="N/A"/>
    <n v="0"/>
    <s v="Raj Malhotra"/>
    <n v="2022"/>
    <s v="N/A"/>
  </r>
  <r>
    <s v="RG-057"/>
    <d v="2024-10-29T00:00:00"/>
    <s v="Meena Shah"/>
    <x v="1"/>
    <x v="1"/>
    <s v="3BHK"/>
    <n v="8600000"/>
    <n v="8600000"/>
    <x v="1"/>
    <d v="2026-04-14T00:00:00"/>
    <n v="7500000"/>
    <s v="N/A"/>
    <n v="0"/>
    <s v="Raj Malhotra"/>
    <n v="2022"/>
    <s v="Excellent"/>
  </r>
  <r>
    <s v="RG-058"/>
    <d v="2024-08-12T00:00:00"/>
    <s v="Pooja Desai"/>
    <x v="1"/>
    <x v="1"/>
    <s v="1BHK"/>
    <n v="3350000"/>
    <n v="0"/>
    <x v="0"/>
    <d v="2025-06-05T00:00:00"/>
    <n v="8500000"/>
    <s v="Referred by agent"/>
    <n v="0"/>
    <s v="Raj Malhotra"/>
    <n v="2022"/>
    <s v="N/A"/>
  </r>
  <r>
    <s v="RG-059"/>
    <d v="2024-09-20T00:00:00"/>
    <s v="Amit Verma"/>
    <x v="0"/>
    <x v="0"/>
    <s v="2BHK"/>
    <n v="4300000"/>
    <n v="850000"/>
    <x v="2"/>
    <d v="2025-11-28T00:00:00"/>
    <n v="9000000"/>
    <s v="Referred by agent"/>
    <n v="556"/>
    <s v="Sneha Kapoor"/>
    <n v="2021"/>
    <s v="Below Target"/>
  </r>
  <r>
    <s v="RG-060"/>
    <d v="2024-10-07T00:00:00"/>
    <s v="Pooja Desai"/>
    <x v="2"/>
    <x v="2"/>
    <s v="4BHK"/>
    <n v="13500000"/>
    <n v="2400000"/>
    <x v="2"/>
    <d v="2025-12-14T00:00:00"/>
    <n v="8500000"/>
    <s v="Builder referral"/>
    <n v="539"/>
    <s v="Priya Nair"/>
    <n v="2023"/>
    <s v="Below Target"/>
  </r>
  <r>
    <s v="RG-061"/>
    <d v="2024-10-23T00:00:00"/>
    <s v="Ravi Patel"/>
    <x v="2"/>
    <x v="2"/>
    <s v="3BHK"/>
    <n v="8050000"/>
    <n v="3100000"/>
    <x v="2"/>
    <d v="2025-11-10T00:00:00"/>
    <n v="8000000"/>
    <s v="NRI buyer"/>
    <n v="523"/>
    <s v="Priya Nair"/>
    <n v="2023"/>
    <s v="Below Target"/>
  </r>
  <r>
    <s v="RG-062"/>
    <d v="2024-03-16T00:00:00"/>
    <s v="Pooja Desai"/>
    <x v="1"/>
    <x v="1"/>
    <s v="2BHK"/>
    <n v="5900000"/>
    <n v="5900000"/>
    <x v="1"/>
    <d v="2025-09-13T00:00:00"/>
    <n v="8500000"/>
    <s v="Online inquiry"/>
    <n v="0"/>
    <s v="Raj Malhotra"/>
    <n v="2022"/>
    <s v="Excellent"/>
  </r>
  <r>
    <s v="RG-063"/>
    <d v="2024-07-18T00:00:00"/>
    <s v="Karan Mehta"/>
    <x v="0"/>
    <x v="0"/>
    <s v="4BHK"/>
    <n v="12700000"/>
    <n v="1300000"/>
    <x v="2"/>
    <d v="2026-01-09T00:00:00"/>
    <n v="7000000"/>
    <s v="Builder referral"/>
    <n v="620"/>
    <s v="Sneha Kapoor"/>
    <n v="2021"/>
    <s v="Below Target"/>
  </r>
  <r>
    <s v="RG-064"/>
    <d v="2024-11-26T00:00:00"/>
    <s v="Pooja Desai"/>
    <x v="0"/>
    <x v="0"/>
    <s v="4BHK"/>
    <n v="12300000"/>
    <n v="12300000"/>
    <x v="1"/>
    <d v="2025-07-07T00:00:00"/>
    <n v="8500000"/>
    <s v="N/A"/>
    <n v="0"/>
    <s v="Sneha Kapoor"/>
    <n v="2021"/>
    <s v="Excellent"/>
  </r>
  <r>
    <s v="RG-065"/>
    <d v="2024-10-21T00:00:00"/>
    <s v="Meena Shah"/>
    <x v="1"/>
    <x v="1"/>
    <s v="4BHK"/>
    <n v="12800000"/>
    <n v="12800000"/>
    <x v="1"/>
    <d v="2025-08-13T00:00:00"/>
    <n v="7500000"/>
    <s v="Online inquiry"/>
    <n v="0"/>
    <s v="Raj Malhotra"/>
    <n v="2022"/>
    <s v="Excellent"/>
  </r>
  <r>
    <s v="RG-066"/>
    <d v="2024-02-25T00:00:00"/>
    <s v="Meena Shah"/>
    <x v="1"/>
    <x v="1"/>
    <s v="2BHK"/>
    <n v="4900000"/>
    <n v="4900000"/>
    <x v="1"/>
    <d v="2025-06-04T00:00:00"/>
    <n v="7500000"/>
    <s v="N/A"/>
    <n v="0"/>
    <s v="Raj Malhotra"/>
    <n v="2022"/>
    <s v="Excellent"/>
  </r>
  <r>
    <s v="RG-067"/>
    <d v="2024-03-29T00:00:00"/>
    <s v="Amit Verma"/>
    <x v="0"/>
    <x v="0"/>
    <s v="2BHK"/>
    <n v="4600000"/>
    <n v="1700000"/>
    <x v="2"/>
    <d v="2024-10-30T00:00:00"/>
    <n v="9000000"/>
    <s v="Online inquiry"/>
    <n v="731"/>
    <s v="Sneha Kapoor"/>
    <n v="2021"/>
    <s v="Below Target"/>
  </r>
  <r>
    <s v="RG-068"/>
    <d v="2024-03-09T00:00:00"/>
    <s v="Pooja Desai"/>
    <x v="2"/>
    <x v="2"/>
    <s v="3BHK"/>
    <n v="7850000"/>
    <n v="2250000"/>
    <x v="2"/>
    <d v="2026-02-03T00:00:00"/>
    <n v="8500000"/>
    <s v="N/A"/>
    <n v="751"/>
    <s v="Priya Nair"/>
    <n v="2023"/>
    <s v="Below Target"/>
  </r>
  <r>
    <s v="RG-069"/>
    <d v="2024-01-28T00:00:00"/>
    <s v="Amit Verma"/>
    <x v="0"/>
    <x v="0"/>
    <s v="2BHK"/>
    <n v="5750000"/>
    <n v="0"/>
    <x v="0"/>
    <d v="2026-04-27T00:00:00"/>
    <n v="9000000"/>
    <s v="N/A"/>
    <n v="0"/>
    <s v="Sneha Kapoor"/>
    <n v="2021"/>
    <s v="N/A"/>
  </r>
  <r>
    <s v="RG-070"/>
    <d v="2024-03-18T00:00:00"/>
    <s v="Amit Verma"/>
    <x v="1"/>
    <x v="1"/>
    <s v="1BHK"/>
    <n v="2800000"/>
    <n v="1050000"/>
    <x v="2"/>
    <d v="2024-12-10T00:00:00"/>
    <n v="9000000"/>
    <s v="NRI buyer"/>
    <n v="742"/>
    <s v="Raj Malhotra"/>
    <n v="2022"/>
    <s v="Below Target"/>
  </r>
  <r>
    <s v="RG-071"/>
    <d v="2024-01-22T00:00:00"/>
    <s v="Amit Verma"/>
    <x v="2"/>
    <x v="2"/>
    <s v="2BHK"/>
    <n v="5700000"/>
    <n v="1400000"/>
    <x v="2"/>
    <d v="2024-08-26T00:00:00"/>
    <n v="9000000"/>
    <s v="Online inquiry"/>
    <n v="798"/>
    <s v="Priya Nair"/>
    <n v="2023"/>
    <s v="Below Target"/>
  </r>
  <r>
    <s v="RG-072"/>
    <d v="2024-11-27T00:00:00"/>
    <s v="Amit Verma"/>
    <x v="1"/>
    <x v="1"/>
    <s v="1BHK"/>
    <n v="2600000"/>
    <n v="2600000"/>
    <x v="1"/>
    <d v="2026-06-22T00:00:00"/>
    <n v="9000000"/>
    <s v="Walk-in customer"/>
    <n v="0"/>
    <s v="Raj Malhotra"/>
    <n v="2022"/>
    <s v="Excellent"/>
  </r>
  <r>
    <s v="RG-073"/>
    <d v="2024-04-28T00:00:00"/>
    <s v="Karan Mehta"/>
    <x v="1"/>
    <x v="1"/>
    <s v="2BHK"/>
    <n v="5550000"/>
    <n v="5550000"/>
    <x v="1"/>
    <d v="2026-06-11T00:00:00"/>
    <n v="7000000"/>
    <s v="NRI buyer"/>
    <n v="0"/>
    <s v="Raj Malhotra"/>
    <n v="2022"/>
    <s v="Excellent"/>
  </r>
  <r>
    <s v="RG-074"/>
    <d v="2024-05-08T00:00:00"/>
    <s v="Ravi Patel"/>
    <x v="0"/>
    <x v="0"/>
    <s v="1BHK"/>
    <n v="2900000"/>
    <n v="0"/>
    <x v="0"/>
    <d v="2025-09-12T00:00:00"/>
    <n v="8000000"/>
    <s v="Online inquiry"/>
    <n v="0"/>
    <s v="Sneha Kapoor"/>
    <n v="2021"/>
    <s v="N/A"/>
  </r>
  <r>
    <s v="RG-075"/>
    <d v="2024-07-04T00:00:00"/>
    <s v="Pooja Desai"/>
    <x v="1"/>
    <x v="1"/>
    <s v="2BHK"/>
    <n v="5550000"/>
    <n v="2150000"/>
    <x v="2"/>
    <d v="2025-10-03T00:00:00"/>
    <n v="8500000"/>
    <s v="N/A"/>
    <n v="634"/>
    <s v="Raj Malhotra"/>
    <n v="2022"/>
    <s v="Below Target"/>
  </r>
  <r>
    <s v="RG-076"/>
    <d v="2024-10-28T00:00:00"/>
    <s v="Pooja Desai"/>
    <x v="0"/>
    <x v="0"/>
    <s v="3BHK"/>
    <n v="6900000"/>
    <n v="6900000"/>
    <x v="1"/>
    <d v="2027-01-26T00:00:00"/>
    <n v="8500000"/>
    <s v="Online inquiry"/>
    <n v="0"/>
    <s v="Sneha Kapoor"/>
    <n v="2021"/>
    <s v="Excellent"/>
  </r>
  <r>
    <s v="RG-077"/>
    <d v="2024-06-07T00:00:00"/>
    <s v="Pooja Desai"/>
    <x v="1"/>
    <x v="1"/>
    <s v="3BHK"/>
    <n v="7050000"/>
    <n v="7050000"/>
    <x v="1"/>
    <d v="2025-10-02T00:00:00"/>
    <n v="8500000"/>
    <s v="Repeat client"/>
    <n v="0"/>
    <s v="Raj Malhotra"/>
    <n v="2022"/>
    <s v="Excellent"/>
  </r>
  <r>
    <s v="RG-078"/>
    <d v="2024-06-16T00:00:00"/>
    <s v="Ravi Patel"/>
    <x v="1"/>
    <x v="1"/>
    <s v="2BHK"/>
    <n v="4250000"/>
    <n v="1100000"/>
    <x v="2"/>
    <d v="2025-08-05T00:00:00"/>
    <n v="8000000"/>
    <s v="N/A"/>
    <n v="652"/>
    <s v="Raj Malhotra"/>
    <n v="2022"/>
    <s v="Below Target"/>
  </r>
  <r>
    <s v="RG-079"/>
    <d v="2024-12-23T00:00:00"/>
    <s v="Meena Shah"/>
    <x v="0"/>
    <x v="0"/>
    <s v="4BHK"/>
    <n v="12950000"/>
    <n v="12950000"/>
    <x v="1"/>
    <d v="2026-05-12T00:00:00"/>
    <n v="7500000"/>
    <s v="N/A"/>
    <n v="0"/>
    <s v="Sneha Kapoor"/>
    <n v="2021"/>
    <s v="Excellent"/>
  </r>
  <r>
    <s v="RG-080"/>
    <d v="2024-12-04T00:00:00"/>
    <s v="Meena Shah"/>
    <x v="0"/>
    <x v="0"/>
    <s v="4BHK"/>
    <n v="11450000"/>
    <n v="11450000"/>
    <x v="2"/>
    <d v="2026-06-26T00:00:00"/>
    <n v="7500000"/>
    <s v="Builder referral"/>
    <n v="481"/>
    <s v="Sneha Kapoor"/>
    <n v="2021"/>
    <s v="Excellent"/>
  </r>
  <r>
    <s v="RG-081"/>
    <d v="2024-09-30T00:00:00"/>
    <s v="Meena Shah"/>
    <x v="1"/>
    <x v="1"/>
    <s v="4BHK"/>
    <n v="11150000"/>
    <n v="11150000"/>
    <x v="1"/>
    <d v="2027-02-21T00:00:00"/>
    <n v="7500000"/>
    <s v="N/A"/>
    <n v="0"/>
    <s v="Raj Malhotra"/>
    <n v="2022"/>
    <s v="Excellent"/>
  </r>
  <r>
    <s v="RG-082"/>
    <d v="2024-01-23T00:00:00"/>
    <s v="Ravi Patel"/>
    <x v="1"/>
    <x v="1"/>
    <s v="2BHK"/>
    <n v="4800000"/>
    <n v="4800000"/>
    <x v="1"/>
    <d v="2025-01-20T00:00:00"/>
    <n v="8000000"/>
    <s v="Referred by agent"/>
    <n v="0"/>
    <s v="Raj Malhotra"/>
    <n v="2022"/>
    <s v="Excellent"/>
  </r>
  <r>
    <s v="RG-083"/>
    <d v="2024-06-14T00:00:00"/>
    <s v="Meena Shah"/>
    <x v="1"/>
    <x v="1"/>
    <s v="4BHK"/>
    <n v="10150000"/>
    <n v="10150000"/>
    <x v="1"/>
    <d v="2025-06-30T00:00:00"/>
    <n v="7500000"/>
    <s v="N/A"/>
    <n v="0"/>
    <s v="Raj Malhotra"/>
    <n v="2022"/>
    <s v="Excellent"/>
  </r>
  <r>
    <s v="RG-084"/>
    <d v="2024-09-22T00:00:00"/>
    <s v="Pooja Desai"/>
    <x v="1"/>
    <x v="1"/>
    <s v="4BHK"/>
    <n v="10500000"/>
    <n v="3250000"/>
    <x v="2"/>
    <d v="2026-07-23T00:00:00"/>
    <n v="8500000"/>
    <s v="NRI buyer"/>
    <n v="554"/>
    <s v="Raj Malhotra"/>
    <n v="2022"/>
    <s v="Below Target"/>
  </r>
  <r>
    <s v="RG-085"/>
    <d v="2024-08-02T00:00:00"/>
    <s v="Karan Mehta"/>
    <x v="0"/>
    <x v="0"/>
    <s v="2BHK"/>
    <n v="5350000"/>
    <n v="5350000"/>
    <x v="1"/>
    <d v="2026-06-14T00:00:00"/>
    <n v="7000000"/>
    <s v="N/A"/>
    <n v="0"/>
    <s v="Sneha Kapoor"/>
    <n v="2021"/>
    <s v="Excellent"/>
  </r>
  <r>
    <s v="RG-086"/>
    <d v="2024-08-02T00:00:00"/>
    <s v="Meena Shah"/>
    <x v="0"/>
    <x v="0"/>
    <s v="3BHK"/>
    <n v="8800000"/>
    <n v="8800000"/>
    <x v="1"/>
    <d v="2026-02-24T00:00:00"/>
    <n v="7500000"/>
    <s v="Repeat client"/>
    <n v="0"/>
    <s v="Sneha Kapoor"/>
    <n v="2021"/>
    <s v="Excellent"/>
  </r>
  <r>
    <s v="RG-087"/>
    <d v="2024-05-04T00:00:00"/>
    <s v="Karan Mehta"/>
    <x v="1"/>
    <x v="1"/>
    <s v="2BHK"/>
    <n v="4300000"/>
    <n v="4300000"/>
    <x v="1"/>
    <d v="2025-09-04T00:00:00"/>
    <n v="7000000"/>
    <s v="Builder referral"/>
    <n v="0"/>
    <s v="Raj Malhotra"/>
    <n v="2022"/>
    <s v="Excellent"/>
  </r>
  <r>
    <s v="RG-088"/>
    <d v="2024-06-19T00:00:00"/>
    <s v="Amit Verma"/>
    <x v="0"/>
    <x v="0"/>
    <s v="2BHK"/>
    <n v="5950000"/>
    <n v="5950000"/>
    <x v="1"/>
    <d v="2025-04-15T00:00:00"/>
    <n v="9000000"/>
    <s v="N/A"/>
    <n v="0"/>
    <s v="Sneha Kapoor"/>
    <n v="2021"/>
    <s v="Excellent"/>
  </r>
  <r>
    <s v="RG-089"/>
    <d v="2024-05-14T00:00:00"/>
    <s v="Pooja Desai"/>
    <x v="1"/>
    <x v="1"/>
    <s v="3BHK"/>
    <n v="8150000"/>
    <n v="1750000"/>
    <x v="2"/>
    <d v="2025-03-06T00:00:00"/>
    <n v="8500000"/>
    <s v="Repeat client"/>
    <n v="685"/>
    <s v="Raj Malhotra"/>
    <n v="2022"/>
    <s v="Below Target"/>
  </r>
  <r>
    <s v="RG-090"/>
    <d v="2024-12-16T00:00:00"/>
    <s v="Pooja Desai"/>
    <x v="1"/>
    <x v="1"/>
    <s v="2BHK"/>
    <n v="4350000"/>
    <n v="4350000"/>
    <x v="1"/>
    <d v="2027-01-13T00:00:00"/>
    <n v="8500000"/>
    <s v="Referred by agent"/>
    <n v="0"/>
    <s v="Raj Malhotra"/>
    <n v="2022"/>
    <s v="Excellent"/>
  </r>
  <r>
    <s v="RG-091"/>
    <d v="2024-05-12T00:00:00"/>
    <s v="Meena Shah"/>
    <x v="1"/>
    <x v="1"/>
    <s v="3BHK"/>
    <n v="7000000"/>
    <n v="7000000"/>
    <x v="1"/>
    <d v="2025-10-17T00:00:00"/>
    <n v="7500000"/>
    <s v="N/A"/>
    <n v="0"/>
    <s v="Raj Malhotra"/>
    <n v="2022"/>
    <s v="Excellent"/>
  </r>
  <r>
    <s v="RG-092"/>
    <d v="2024-09-23T00:00:00"/>
    <s v="Pooja Desai"/>
    <x v="0"/>
    <x v="0"/>
    <s v="3BHK"/>
    <n v="8950000"/>
    <n v="1150000"/>
    <x v="2"/>
    <d v="2026-08-26T00:00:00"/>
    <n v="8500000"/>
    <s v="N/A"/>
    <n v="553"/>
    <s v="Sneha Kapoor"/>
    <n v="2021"/>
    <s v="Below Target"/>
  </r>
  <r>
    <s v="RG-093"/>
    <d v="2024-07-27T00:00:00"/>
    <s v="Pooja Desai"/>
    <x v="0"/>
    <x v="0"/>
    <s v="4BHK"/>
    <n v="11900000"/>
    <n v="11900000"/>
    <x v="1"/>
    <d v="2025-11-11T00:00:00"/>
    <n v="8500000"/>
    <s v="Referred by agent"/>
    <n v="0"/>
    <s v="Sneha Kapoor"/>
    <n v="2021"/>
    <s v="Excellent"/>
  </r>
  <r>
    <s v="RG-094"/>
    <d v="2024-05-18T00:00:00"/>
    <s v="Ravi Patel"/>
    <x v="2"/>
    <x v="2"/>
    <s v="2BHK"/>
    <n v="5900000"/>
    <n v="1600000"/>
    <x v="2"/>
    <d v="2024-12-17T00:00:00"/>
    <n v="8000000"/>
    <s v="Walk-in customer"/>
    <n v="681"/>
    <s v="Priya Nair"/>
    <n v="2023"/>
    <s v="Below Target"/>
  </r>
  <r>
    <s v="RG-095"/>
    <d v="2024-05-07T00:00:00"/>
    <s v="Ravi Patel"/>
    <x v="0"/>
    <x v="0"/>
    <s v="1BHK"/>
    <n v="3200000"/>
    <n v="1100000"/>
    <x v="2"/>
    <d v="2025-02-06T00:00:00"/>
    <n v="8000000"/>
    <s v="Online inquiry"/>
    <n v="692"/>
    <s v="Sneha Kapoor"/>
    <n v="2021"/>
    <s v="Below Target"/>
  </r>
  <r>
    <s v="RG-096"/>
    <d v="2024-01-17T00:00:00"/>
    <s v="Pooja Desai"/>
    <x v="0"/>
    <x v="0"/>
    <s v="2BHK"/>
    <n v="5800000"/>
    <n v="5800000"/>
    <x v="1"/>
    <d v="2025-03-14T00:00:00"/>
    <n v="8500000"/>
    <s v="Online inquiry"/>
    <n v="0"/>
    <s v="Sneha Kapoor"/>
    <n v="2021"/>
    <s v="Excellent"/>
  </r>
  <r>
    <s v="RG-097"/>
    <d v="2024-08-20T00:00:00"/>
    <s v="Pooja Desai"/>
    <x v="0"/>
    <x v="0"/>
    <s v="4BHK"/>
    <n v="10300000"/>
    <n v="0"/>
    <x v="0"/>
    <d v="2026-05-31T00:00:00"/>
    <n v="8500000"/>
    <s v="Repeat client"/>
    <n v="0"/>
    <s v="Sneha Kapoor"/>
    <n v="2021"/>
    <s v="N/A"/>
  </r>
  <r>
    <s v="RG-098"/>
    <d v="2024-07-09T00:00:00"/>
    <s v="Ravi Patel"/>
    <x v="1"/>
    <x v="1"/>
    <s v="4BHK"/>
    <n v="10150000"/>
    <n v="10150000"/>
    <x v="1"/>
    <d v="2025-03-12T00:00:00"/>
    <n v="8000000"/>
    <s v="Online inquiry"/>
    <n v="0"/>
    <s v="Raj Malhotra"/>
    <n v="2022"/>
    <s v="Excellent"/>
  </r>
  <r>
    <s v="RG-099"/>
    <d v="2024-09-02T00:00:00"/>
    <s v="Karan Mehta"/>
    <x v="1"/>
    <x v="1"/>
    <s v="3BHK"/>
    <n v="8600000"/>
    <n v="8600000"/>
    <x v="1"/>
    <d v="2026-04-02T00:00:00"/>
    <n v="7000000"/>
    <s v="Builder referral"/>
    <n v="0"/>
    <s v="Raj Malhotra"/>
    <n v="2022"/>
    <s v="Excellent"/>
  </r>
  <r>
    <s v="RG-100"/>
    <d v="2024-10-14T00:00:00"/>
    <s v="Meena Shah"/>
    <x v="2"/>
    <x v="2"/>
    <s v="3BHK"/>
    <n v="8250000"/>
    <n v="8250000"/>
    <x v="1"/>
    <d v="2026-07-15T00:00:00"/>
    <n v="7500000"/>
    <s v="Builder referral"/>
    <n v="0"/>
    <s v="Priya Nair"/>
    <n v="2023"/>
    <s v="Excellent"/>
  </r>
  <r>
    <s v="RG-101"/>
    <d v="2024-11-01T00:00:00"/>
    <s v="Ravi Patel"/>
    <x v="0"/>
    <x v="0"/>
    <s v="2BHK"/>
    <n v="5150000"/>
    <n v="5150000"/>
    <x v="1"/>
    <d v="2025-10-25T00:00:00"/>
    <n v="8000000"/>
    <s v="NRI buyer"/>
    <n v="0"/>
    <s v="Sneha Kapoor"/>
    <n v="2021"/>
    <s v="Excellent"/>
  </r>
  <r>
    <s v="RG-102"/>
    <d v="2024-07-10T00:00:00"/>
    <s v="Amit Verma"/>
    <x v="1"/>
    <x v="1"/>
    <s v="4BHK"/>
    <n v="10700000"/>
    <n v="10700000"/>
    <x v="1"/>
    <d v="2026-09-14T00:00:00"/>
    <n v="9000000"/>
    <s v="N/A"/>
    <n v="0"/>
    <s v="Raj Malhotra"/>
    <n v="2022"/>
    <s v="Excellent"/>
  </r>
  <r>
    <s v="RG-103"/>
    <d v="2024-12-03T00:00:00"/>
    <s v="Karan Mehta"/>
    <x v="2"/>
    <x v="2"/>
    <s v="2BHK"/>
    <n v="5750000"/>
    <n v="650000"/>
    <x v="2"/>
    <d v="2025-06-30T00:00:00"/>
    <n v="7000000"/>
    <s v="NRI buyer"/>
    <n v="482"/>
    <s v="Priya Nair"/>
    <n v="2023"/>
    <s v="Below Target"/>
  </r>
  <r>
    <s v="RG-104"/>
    <d v="2024-10-15T00:00:00"/>
    <s v="Ravi Patel"/>
    <x v="0"/>
    <x v="0"/>
    <s v="1BHK"/>
    <n v="3200000"/>
    <n v="3200000"/>
    <x v="1"/>
    <d v="2026-10-19T00:00:00"/>
    <n v="8000000"/>
    <s v="N/A"/>
    <n v="0"/>
    <s v="Sneha Kapoor"/>
    <n v="2021"/>
    <s v="Excellent"/>
  </r>
  <r>
    <s v="RG-105"/>
    <d v="2024-07-08T00:00:00"/>
    <s v="Meena Shah"/>
    <x v="1"/>
    <x v="1"/>
    <s v="2BHK"/>
    <n v="5000000"/>
    <n v="5000000"/>
    <x v="1"/>
    <d v="2025-08-23T00:00:00"/>
    <n v="7500000"/>
    <s v="Builder referral"/>
    <n v="0"/>
    <s v="Raj Malhotra"/>
    <n v="2022"/>
    <s v="Excellent"/>
  </r>
  <r>
    <s v="RG-106"/>
    <d v="2024-09-23T00:00:00"/>
    <s v="Pooja Desai"/>
    <x v="1"/>
    <x v="1"/>
    <s v="2BHK"/>
    <n v="4150000"/>
    <n v="0"/>
    <x v="0"/>
    <d v="2026-01-08T00:00:00"/>
    <n v="8500000"/>
    <s v="Online inquiry"/>
    <n v="0"/>
    <s v="Raj Malhotra"/>
    <n v="2022"/>
    <s v="N/A"/>
  </r>
  <r>
    <s v="RG-107"/>
    <d v="2024-09-16T00:00:00"/>
    <s v="Amit Verma"/>
    <x v="1"/>
    <x v="1"/>
    <s v="3BHK"/>
    <n v="7750000"/>
    <n v="2100000"/>
    <x v="2"/>
    <d v="2027-01-19T00:00:00"/>
    <n v="9000000"/>
    <s v="N/A"/>
    <n v="560"/>
    <s v="Raj Malhotra"/>
    <n v="2022"/>
    <s v="Below Target"/>
  </r>
  <r>
    <s v="RG-108"/>
    <d v="2024-10-03T00:00:00"/>
    <s v="Karan Mehta"/>
    <x v="2"/>
    <x v="2"/>
    <s v="2BHK"/>
    <n v="5000000"/>
    <n v="5000000"/>
    <x v="1"/>
    <d v="2025-07-24T00:00:00"/>
    <n v="7000000"/>
    <s v="Repeat client"/>
    <n v="0"/>
    <s v="Priya Nair"/>
    <n v="2023"/>
    <s v="Excellent"/>
  </r>
  <r>
    <s v="RG-109"/>
    <d v="2024-02-02T00:00:00"/>
    <s v="Karan Mehta"/>
    <x v="1"/>
    <x v="1"/>
    <s v="4BHK"/>
    <n v="11300000"/>
    <n v="2050000"/>
    <x v="2"/>
    <d v="2025-05-17T00:00:00"/>
    <n v="7000000"/>
    <s v="Repeat client"/>
    <n v="787"/>
    <s v="Raj Malhotra"/>
    <n v="2022"/>
    <s v="Below Target"/>
  </r>
  <r>
    <s v="RG-110"/>
    <d v="2024-05-28T00:00:00"/>
    <s v="Meena Shah"/>
    <x v="2"/>
    <x v="2"/>
    <s v="3BHK"/>
    <n v="7850000"/>
    <n v="2200000"/>
    <x v="2"/>
    <d v="2026-10-13T00:00:00"/>
    <n v="7500000"/>
    <s v="Repeat client"/>
    <n v="671"/>
    <s v="Priya Nair"/>
    <n v="2023"/>
    <s v="Below Target"/>
  </r>
  <r>
    <s v="RG-111"/>
    <d v="2024-05-04T00:00:00"/>
    <s v="Karan Mehta"/>
    <x v="1"/>
    <x v="1"/>
    <s v="2BHK"/>
    <n v="5150000"/>
    <n v="5150000"/>
    <x v="1"/>
    <d v="2025-08-16T00:00:00"/>
    <n v="7000000"/>
    <s v="N/A"/>
    <n v="0"/>
    <s v="Raj Malhotra"/>
    <n v="2022"/>
    <s v="Excellent"/>
  </r>
  <r>
    <s v="RG-112"/>
    <d v="2024-11-26T00:00:00"/>
    <s v="Amit Verma"/>
    <x v="0"/>
    <x v="0"/>
    <s v="3BHK"/>
    <n v="6700000"/>
    <n v="6700000"/>
    <x v="1"/>
    <d v="2025-12-27T00:00:00"/>
    <n v="9000000"/>
    <s v="N/A"/>
    <n v="0"/>
    <s v="Sneha Kapoor"/>
    <n v="2021"/>
    <s v="Excellent"/>
  </r>
  <r>
    <s v="RG-113"/>
    <d v="2024-08-23T00:00:00"/>
    <s v="Meena Shah"/>
    <x v="1"/>
    <x v="1"/>
    <s v="2BHK"/>
    <n v="4300000"/>
    <n v="0"/>
    <x v="0"/>
    <d v="2026-09-01T00:00:00"/>
    <n v="7500000"/>
    <s v="N/A"/>
    <n v="0"/>
    <s v="Raj Malhotra"/>
    <n v="2022"/>
    <s v="N/A"/>
  </r>
  <r>
    <s v="RG-114"/>
    <d v="2024-07-03T00:00:00"/>
    <s v="Amit Verma"/>
    <x v="2"/>
    <x v="2"/>
    <s v="3BHK"/>
    <n v="8600000"/>
    <n v="2450000"/>
    <x v="2"/>
    <d v="2026-04-12T00:00:00"/>
    <n v="9000000"/>
    <s v="NRI buyer"/>
    <n v="635"/>
    <s v="Priya Nair"/>
    <n v="2023"/>
    <s v="Below Target"/>
  </r>
  <r>
    <s v="RG-115"/>
    <d v="2024-05-15T00:00:00"/>
    <s v="Ravi Patel"/>
    <x v="0"/>
    <x v="0"/>
    <s v="3BHK"/>
    <n v="6800000"/>
    <n v="6800000"/>
    <x v="1"/>
    <d v="2024-11-13T00:00:00"/>
    <n v="8000000"/>
    <s v="N/A"/>
    <n v="0"/>
    <s v="Sneha Kapoor"/>
    <n v="2021"/>
    <s v="Excellent"/>
  </r>
  <r>
    <s v="RG-116"/>
    <d v="2024-12-22T00:00:00"/>
    <s v="Pooja Desai"/>
    <x v="0"/>
    <x v="0"/>
    <s v="2BHK"/>
    <n v="5400000"/>
    <n v="0"/>
    <x v="0"/>
    <d v="2025-06-25T00:00:00"/>
    <n v="8500000"/>
    <s v="NRI buyer"/>
    <n v="0"/>
    <s v="Sneha Kapoor"/>
    <n v="2021"/>
    <s v="N/A"/>
  </r>
  <r>
    <s v="RG-117"/>
    <d v="2024-01-05T00:00:00"/>
    <s v="Karan Mehta"/>
    <x v="0"/>
    <x v="0"/>
    <s v="2BHK"/>
    <n v="4550000"/>
    <n v="4550000"/>
    <x v="1"/>
    <d v="2024-10-20T00:00:00"/>
    <n v="7000000"/>
    <s v="N/A"/>
    <n v="0"/>
    <s v="Sneha Kapoor"/>
    <n v="2021"/>
    <s v="Excellent"/>
  </r>
  <r>
    <s v="RG-118"/>
    <d v="2024-07-13T00:00:00"/>
    <s v="Karan Mehta"/>
    <x v="1"/>
    <x v="1"/>
    <s v="3BHK"/>
    <n v="7900000"/>
    <n v="7900000"/>
    <x v="1"/>
    <d v="2026-05-24T00:00:00"/>
    <n v="7000000"/>
    <s v="N/A"/>
    <n v="0"/>
    <s v="Raj Malhotra"/>
    <n v="2022"/>
    <s v="Excellent"/>
  </r>
  <r>
    <s v="RG-119"/>
    <d v="2024-03-04T00:00:00"/>
    <s v="Pooja Desai"/>
    <x v="1"/>
    <x v="1"/>
    <s v="4BHK"/>
    <n v="12550000"/>
    <n v="2000000"/>
    <x v="2"/>
    <d v="2024-11-10T00:00:00"/>
    <n v="8500000"/>
    <s v="Referred by agent"/>
    <n v="756"/>
    <s v="Raj Malhotra"/>
    <n v="2022"/>
    <s v="Below Target"/>
  </r>
  <r>
    <s v="RG-120"/>
    <d v="2024-06-07T00:00:00"/>
    <s v="Karan Mehta"/>
    <x v="1"/>
    <x v="1"/>
    <s v="4BHK"/>
    <n v="10550000"/>
    <n v="0"/>
    <x v="0"/>
    <d v="2026-11-23T00:00:00"/>
    <n v="7000000"/>
    <s v="N/A"/>
    <n v="0"/>
    <s v="Raj Malhotra"/>
    <n v="2022"/>
    <s v="N/A"/>
  </r>
  <r>
    <s v="RG-121"/>
    <d v="2024-11-07T00:00:00"/>
    <s v="Meena Shah"/>
    <x v="0"/>
    <x v="0"/>
    <s v="2BHK"/>
    <n v="4950000"/>
    <n v="900000"/>
    <x v="2"/>
    <d v="2027-02-20T00:00:00"/>
    <n v="7500000"/>
    <s v="N/A"/>
    <n v="508"/>
    <s v="Sneha Kapoor"/>
    <n v="2021"/>
    <s v="Below Target"/>
  </r>
  <r>
    <s v="RG-122"/>
    <d v="2024-05-06T00:00:00"/>
    <s v="Meena Shah"/>
    <x v="0"/>
    <x v="0"/>
    <s v="3BHK"/>
    <n v="8800000"/>
    <n v="8800000"/>
    <x v="1"/>
    <d v="2026-06-27T00:00:00"/>
    <n v="7500000"/>
    <s v="Online inquiry"/>
    <n v="0"/>
    <s v="Sneha Kapoor"/>
    <n v="2021"/>
    <s v="Excellent"/>
  </r>
  <r>
    <s v="RG-123"/>
    <d v="2024-09-15T00:00:00"/>
    <s v="Pooja Desai"/>
    <x v="0"/>
    <x v="0"/>
    <s v="1BHK"/>
    <n v="3150000"/>
    <n v="1100000"/>
    <x v="2"/>
    <d v="2025-04-28T00:00:00"/>
    <n v="8500000"/>
    <s v="Referred by agent"/>
    <n v="561"/>
    <s v="Sneha Kapoor"/>
    <n v="2021"/>
    <s v="Below Target"/>
  </r>
  <r>
    <s v="RG-124"/>
    <d v="2024-12-29T00:00:00"/>
    <s v="Ravi Patel"/>
    <x v="1"/>
    <x v="1"/>
    <s v="2BHK"/>
    <n v="5800000"/>
    <n v="5800000"/>
    <x v="1"/>
    <d v="2027-06-14T00:00:00"/>
    <n v="8000000"/>
    <s v="Walk-in customer"/>
    <n v="0"/>
    <s v="Raj Malhotra"/>
    <n v="2022"/>
    <s v="Excellent"/>
  </r>
  <r>
    <s v="RG-125"/>
    <d v="2024-12-27T00:00:00"/>
    <s v="Meena Shah"/>
    <x v="1"/>
    <x v="1"/>
    <s v="2BHK"/>
    <n v="5150000"/>
    <n v="1150000"/>
    <x v="2"/>
    <d v="2026-01-22T00:00:00"/>
    <n v="7500000"/>
    <s v="N/A"/>
    <n v="458"/>
    <s v="Raj Malhotra"/>
    <n v="2022"/>
    <s v="Below Target"/>
  </r>
  <r>
    <s v="RG-126"/>
    <d v="2024-04-22T00:00:00"/>
    <s v="Amit Verma"/>
    <x v="0"/>
    <x v="0"/>
    <s v="3BHK"/>
    <n v="7700000"/>
    <n v="7700000"/>
    <x v="1"/>
    <d v="2026-01-30T00:00:00"/>
    <n v="9000000"/>
    <s v="N/A"/>
    <n v="0"/>
    <s v="Sneha Kapoor"/>
    <n v="2021"/>
    <s v="Excellent"/>
  </r>
  <r>
    <s v="RG-127"/>
    <d v="2024-05-29T00:00:00"/>
    <s v="Ravi Patel"/>
    <x v="1"/>
    <x v="1"/>
    <s v="3BHK"/>
    <n v="8600000"/>
    <n v="8600000"/>
    <x v="1"/>
    <d v="2026-09-04T00:00:00"/>
    <n v="8000000"/>
    <s v="Builder referral"/>
    <n v="0"/>
    <s v="Raj Malhotra"/>
    <n v="2022"/>
    <s v="Excellent"/>
  </r>
  <r>
    <s v="RG-128"/>
    <d v="2024-11-22T00:00:00"/>
    <s v="Karan Mehta"/>
    <x v="0"/>
    <x v="0"/>
    <s v="2BHK"/>
    <n v="5950000"/>
    <n v="5950000"/>
    <x v="1"/>
    <d v="2025-10-03T00:00:00"/>
    <n v="7000000"/>
    <s v="N/A"/>
    <n v="0"/>
    <s v="Sneha Kapoor"/>
    <n v="2021"/>
    <s v="Excellent"/>
  </r>
  <r>
    <s v="RG-129"/>
    <d v="2024-08-18T00:00:00"/>
    <s v="Meena Shah"/>
    <x v="2"/>
    <x v="2"/>
    <s v="3BHK"/>
    <n v="8100000"/>
    <n v="8100000"/>
    <x v="1"/>
    <d v="2025-03-15T00:00:00"/>
    <n v="7500000"/>
    <s v="N/A"/>
    <n v="0"/>
    <s v="Priya Nair"/>
    <n v="2023"/>
    <s v="Excellent"/>
  </r>
  <r>
    <s v="RG-130"/>
    <d v="2024-07-12T00:00:00"/>
    <s v="Karan Mehta"/>
    <x v="0"/>
    <x v="0"/>
    <s v="3BHK"/>
    <n v="7200000"/>
    <n v="7200000"/>
    <x v="1"/>
    <d v="2026-06-03T00:00:00"/>
    <n v="7000000"/>
    <s v="N/A"/>
    <n v="0"/>
    <s v="Sneha Kapoor"/>
    <n v="2021"/>
    <s v="Excellent"/>
  </r>
  <r>
    <s v="RG-131"/>
    <d v="2024-02-07T00:00:00"/>
    <s v="Meena Shah"/>
    <x v="2"/>
    <x v="2"/>
    <s v="3BHK"/>
    <n v="8850000"/>
    <n v="8850000"/>
    <x v="1"/>
    <d v="2025-12-08T00:00:00"/>
    <n v="7500000"/>
    <s v="Online inquiry"/>
    <n v="0"/>
    <s v="Priya Nair"/>
    <n v="2023"/>
    <s v="Excellent"/>
  </r>
  <r>
    <s v="RG-132"/>
    <d v="2024-05-22T00:00:00"/>
    <s v="Ravi Patel"/>
    <x v="0"/>
    <x v="0"/>
    <s v="2BHK"/>
    <n v="4700000"/>
    <n v="4700000"/>
    <x v="1"/>
    <d v="2026-03-01T00:00:00"/>
    <n v="8000000"/>
    <s v="NRI buyer"/>
    <n v="0"/>
    <s v="Sneha Kapoor"/>
    <n v="2021"/>
    <s v="Excellent"/>
  </r>
  <r>
    <s v="RG-133"/>
    <d v="2024-03-21T00:00:00"/>
    <s v="Pooja Desai"/>
    <x v="1"/>
    <x v="1"/>
    <s v="2BHK"/>
    <n v="4700000"/>
    <n v="650000"/>
    <x v="2"/>
    <d v="2025-08-09T00:00:00"/>
    <n v="8500000"/>
    <s v="Repeat client"/>
    <n v="739"/>
    <s v="Raj Malhotra"/>
    <n v="2022"/>
    <s v="Below Target"/>
  </r>
  <r>
    <s v="RG-134"/>
    <d v="2024-11-01T00:00:00"/>
    <s v="Karan Mehta"/>
    <x v="1"/>
    <x v="1"/>
    <s v="1BHK"/>
    <n v="2800000"/>
    <n v="600000"/>
    <x v="2"/>
    <d v="2025-07-25T00:00:00"/>
    <n v="7000000"/>
    <s v="N/A"/>
    <n v="514"/>
    <s v="Raj Malhotra"/>
    <n v="2022"/>
    <s v="Below Target"/>
  </r>
  <r>
    <s v="RG-135"/>
    <d v="2024-09-29T00:00:00"/>
    <s v="Amit Verma"/>
    <x v="1"/>
    <x v="1"/>
    <s v="3BHK"/>
    <n v="8550000"/>
    <n v="8550000"/>
    <x v="1"/>
    <d v="2025-12-05T00:00:00"/>
    <n v="9000000"/>
    <s v="Builder referral"/>
    <n v="0"/>
    <s v="Raj Malhotra"/>
    <n v="2022"/>
    <s v="Excellent"/>
  </r>
  <r>
    <s v="RG-136"/>
    <d v="2024-05-03T00:00:00"/>
    <s v="Amit Verma"/>
    <x v="2"/>
    <x v="2"/>
    <s v="2BHK"/>
    <n v="5650000"/>
    <n v="700000"/>
    <x v="2"/>
    <d v="2026-07-04T00:00:00"/>
    <n v="9000000"/>
    <s v="N/A"/>
    <n v="696"/>
    <s v="Priya Nair"/>
    <n v="2023"/>
    <s v="Below Target"/>
  </r>
  <r>
    <s v="RG-137"/>
    <d v="2024-10-11T00:00:00"/>
    <s v="Meena Shah"/>
    <x v="2"/>
    <x v="2"/>
    <s v="3BHK"/>
    <n v="8550000"/>
    <n v="2900000"/>
    <x v="2"/>
    <d v="2025-07-13T00:00:00"/>
    <n v="7500000"/>
    <s v="Builder referral"/>
    <n v="535"/>
    <s v="Priya Nair"/>
    <n v="2023"/>
    <s v="Below Target"/>
  </r>
  <r>
    <s v="RG-138"/>
    <d v="2024-08-01T00:00:00"/>
    <s v="Karan Mehta"/>
    <x v="1"/>
    <x v="1"/>
    <s v="2BHK"/>
    <n v="4550000"/>
    <n v="4550000"/>
    <x v="1"/>
    <d v="2026-01-01T00:00:00"/>
    <n v="7000000"/>
    <s v="NRI buyer"/>
    <n v="0"/>
    <s v="Raj Malhotra"/>
    <n v="2022"/>
    <s v="Excellent"/>
  </r>
  <r>
    <s v="RG-139"/>
    <d v="2024-03-10T00:00:00"/>
    <s v="Ravi Patel"/>
    <x v="1"/>
    <x v="1"/>
    <s v="1BHK"/>
    <n v="2800000"/>
    <n v="2800000"/>
    <x v="1"/>
    <d v="2024-10-20T00:00:00"/>
    <n v="8000000"/>
    <s v="Online inquiry"/>
    <n v="0"/>
    <s v="Raj Malhotra"/>
    <n v="2022"/>
    <s v="Excellent"/>
  </r>
  <r>
    <s v="RG-140"/>
    <d v="2024-09-25T00:00:00"/>
    <s v="Karan Mehta"/>
    <x v="1"/>
    <x v="1"/>
    <s v="2BHK"/>
    <n v="5950000"/>
    <n v="5950000"/>
    <x v="1"/>
    <d v="2026-04-24T00:00:00"/>
    <n v="7000000"/>
    <s v="N/A"/>
    <n v="0"/>
    <s v="Raj Malhotra"/>
    <n v="2022"/>
    <s v="Excellent"/>
  </r>
  <r>
    <s v="RG-141"/>
    <d v="2024-10-30T00:00:00"/>
    <s v="Amit Verma"/>
    <x v="1"/>
    <x v="1"/>
    <s v="3BHK"/>
    <n v="8850000"/>
    <n v="8850000"/>
    <x v="2"/>
    <d v="2026-08-27T00:00:00"/>
    <n v="9000000"/>
    <s v="Referred by agent"/>
    <n v="516"/>
    <s v="Raj Malhotra"/>
    <n v="2022"/>
    <s v="Excellent"/>
  </r>
  <r>
    <s v="RG-142"/>
    <d v="2024-05-04T00:00:00"/>
    <s v="Ravi Patel"/>
    <x v="2"/>
    <x v="2"/>
    <s v="2BHK"/>
    <n v="5350000"/>
    <n v="5350000"/>
    <x v="1"/>
    <d v="2024-12-23T00:00:00"/>
    <n v="8000000"/>
    <s v="NRI buyer"/>
    <n v="0"/>
    <s v="Priya Nair"/>
    <n v="2023"/>
    <s v="Excellent"/>
  </r>
  <r>
    <s v="RG-143"/>
    <d v="2024-04-23T00:00:00"/>
    <s v="Pooja Desai"/>
    <x v="0"/>
    <x v="0"/>
    <s v="2BHK"/>
    <n v="4100000"/>
    <n v="1050000"/>
    <x v="2"/>
    <d v="2025-06-18T00:00:00"/>
    <n v="8500000"/>
    <s v="N/A"/>
    <n v="706"/>
    <s v="Sneha Kapoor"/>
    <n v="2021"/>
    <s v="Below Target"/>
  </r>
  <r>
    <s v="RG-144"/>
    <d v="2024-03-10T00:00:00"/>
    <s v="Pooja Desai"/>
    <x v="1"/>
    <x v="1"/>
    <s v="4BHK"/>
    <n v="10550000"/>
    <n v="0"/>
    <x v="0"/>
    <d v="2025-01-19T00:00:00"/>
    <n v="8500000"/>
    <s v="Online inquiry"/>
    <n v="0"/>
    <s v="Raj Malhotra"/>
    <n v="2022"/>
    <s v="N/A"/>
  </r>
  <r>
    <s v="RG-145"/>
    <d v="2024-10-27T00:00:00"/>
    <s v="Amit Verma"/>
    <x v="1"/>
    <x v="1"/>
    <s v="3BHK"/>
    <n v="7550000"/>
    <n v="2650000"/>
    <x v="2"/>
    <d v="2025-11-14T00:00:00"/>
    <n v="9000000"/>
    <s v="N/A"/>
    <n v="519"/>
    <s v="Raj Malhotra"/>
    <n v="2022"/>
    <s v="Below Target"/>
  </r>
  <r>
    <s v="RG-146"/>
    <d v="2024-07-07T00:00:00"/>
    <s v="Meena Shah"/>
    <x v="0"/>
    <x v="0"/>
    <s v="3BHK"/>
    <n v="7000000"/>
    <n v="7000000"/>
    <x v="1"/>
    <d v="2026-06-08T00:00:00"/>
    <n v="7500000"/>
    <s v="Referred by agent"/>
    <n v="0"/>
    <s v="Sneha Kapoor"/>
    <n v="2021"/>
    <s v="Excellent"/>
  </r>
  <r>
    <s v="RG-147"/>
    <d v="2024-05-29T00:00:00"/>
    <s v="Karan Mehta"/>
    <x v="2"/>
    <x v="2"/>
    <s v="3BHK"/>
    <n v="7500000"/>
    <n v="1600000"/>
    <x v="2"/>
    <d v="2026-04-14T00:00:00"/>
    <n v="7000000"/>
    <s v="Online inquiry"/>
    <n v="670"/>
    <s v="Priya Nair"/>
    <n v="2023"/>
    <s v="Below Target"/>
  </r>
  <r>
    <s v="RG-148"/>
    <d v="2024-03-13T00:00:00"/>
    <s v="Amit Verma"/>
    <x v="1"/>
    <x v="1"/>
    <s v="4BHK"/>
    <n v="11250000"/>
    <n v="2750000"/>
    <x v="2"/>
    <d v="2026-01-09T00:00:00"/>
    <n v="9000000"/>
    <s v="NRI buyer"/>
    <n v="747"/>
    <s v="Raj Malhotra"/>
    <n v="2022"/>
    <s v="Below Target"/>
  </r>
  <r>
    <s v="RG-149"/>
    <d v="2024-09-28T00:00:00"/>
    <s v="Amit Verma"/>
    <x v="0"/>
    <x v="0"/>
    <s v="2BHK"/>
    <n v="4200000"/>
    <n v="4200000"/>
    <x v="1"/>
    <d v="2027-01-28T00:00:00"/>
    <n v="9000000"/>
    <s v="Online inquiry"/>
    <n v="0"/>
    <s v="Sneha Kapoor"/>
    <n v="2021"/>
    <s v="Excellent"/>
  </r>
  <r>
    <s v="RG-150"/>
    <d v="2024-08-26T00:00:00"/>
    <s v="Amit Verma"/>
    <x v="1"/>
    <x v="1"/>
    <s v="2BHK"/>
    <n v="4200000"/>
    <n v="1000000"/>
    <x v="2"/>
    <d v="2026-03-06T00:00:00"/>
    <n v="9000000"/>
    <s v="Online inquiry"/>
    <n v="581"/>
    <s v="Raj Malhotra"/>
    <n v="2022"/>
    <s v="Below Target"/>
  </r>
  <r>
    <s v="RG-151"/>
    <d v="2024-05-02T00:00:00"/>
    <s v="Ravi Patel"/>
    <x v="1"/>
    <x v="1"/>
    <s v="1BHK"/>
    <n v="3000000"/>
    <n v="850000"/>
    <x v="2"/>
    <d v="2025-09-10T00:00:00"/>
    <n v="8000000"/>
    <s v="Walk-in customer"/>
    <n v="697"/>
    <s v="Raj Malhotra"/>
    <n v="2022"/>
    <s v="Below Target"/>
  </r>
  <r>
    <s v="RG-152"/>
    <d v="2024-04-22T00:00:00"/>
    <s v="Meena Shah"/>
    <x v="0"/>
    <x v="0"/>
    <s v="3BHK"/>
    <n v="6900000"/>
    <n v="0"/>
    <x v="0"/>
    <d v="2026-08-11T00:00:00"/>
    <n v="7500000"/>
    <s v="Referred by agent"/>
    <n v="0"/>
    <s v="Sneha Kapoor"/>
    <n v="2021"/>
    <s v="N/A"/>
  </r>
  <r>
    <s v="RG-153"/>
    <d v="2024-06-19T00:00:00"/>
    <s v="Meena Shah"/>
    <x v="1"/>
    <x v="1"/>
    <s v="2BHK"/>
    <n v="5550000"/>
    <n v="1450000"/>
    <x v="2"/>
    <d v="2026-02-26T00:00:00"/>
    <n v="7500000"/>
    <s v="N/A"/>
    <n v="649"/>
    <s v="Raj Malhotra"/>
    <n v="2022"/>
    <s v="Below Target"/>
  </r>
  <r>
    <s v="RG-154"/>
    <d v="2024-06-22T00:00:00"/>
    <s v="Pooja Desai"/>
    <x v="0"/>
    <x v="0"/>
    <s v="2BHK"/>
    <n v="4900000"/>
    <n v="4900000"/>
    <x v="1"/>
    <d v="2026-10-31T00:00:00"/>
    <n v="8500000"/>
    <s v="Builder referral"/>
    <n v="0"/>
    <s v="Sneha Kapoor"/>
    <n v="2021"/>
    <s v="Excellent"/>
  </r>
  <r>
    <s v="RG-155"/>
    <d v="2024-05-07T00:00:00"/>
    <s v="Meena Shah"/>
    <x v="2"/>
    <x v="2"/>
    <s v="3BHK"/>
    <n v="7800000"/>
    <n v="7800000"/>
    <x v="1"/>
    <d v="2025-04-15T00:00:00"/>
    <n v="7500000"/>
    <s v="N/A"/>
    <n v="0"/>
    <s v="Priya Nair"/>
    <n v="2023"/>
    <s v="Excellent"/>
  </r>
  <r>
    <s v="RG-156"/>
    <d v="2024-04-08T00:00:00"/>
    <s v="Pooja Desai"/>
    <x v="1"/>
    <x v="1"/>
    <s v="3BHK"/>
    <n v="7250000"/>
    <n v="1950000"/>
    <x v="2"/>
    <d v="2025-11-24T00:00:00"/>
    <n v="8500000"/>
    <s v="N/A"/>
    <n v="721"/>
    <s v="Raj Malhotra"/>
    <n v="2022"/>
    <s v="Below Target"/>
  </r>
  <r>
    <s v="RG-157"/>
    <d v="2024-08-03T00:00:00"/>
    <s v="Amit Verma"/>
    <x v="1"/>
    <x v="1"/>
    <s v="1BHK"/>
    <n v="3300000"/>
    <n v="400000"/>
    <x v="2"/>
    <d v="2026-01-23T00:00:00"/>
    <n v="9000000"/>
    <s v="Online inquiry"/>
    <n v="604"/>
    <s v="Raj Malhotra"/>
    <n v="2022"/>
    <s v="Below Target"/>
  </r>
  <r>
    <s v="RG-158"/>
    <d v="2024-07-13T00:00:00"/>
    <s v="Meena Shah"/>
    <x v="1"/>
    <x v="1"/>
    <s v="2BHK"/>
    <n v="4200000"/>
    <n v="4200000"/>
    <x v="1"/>
    <d v="2025-01-14T00:00:00"/>
    <n v="7500000"/>
    <s v="Builder referral"/>
    <n v="0"/>
    <s v="Raj Malhotra"/>
    <n v="2022"/>
    <s v="Excellent"/>
  </r>
  <r>
    <s v="RG-159"/>
    <d v="2024-02-14T00:00:00"/>
    <s v="Karan Mehta"/>
    <x v="0"/>
    <x v="0"/>
    <s v="1BHK"/>
    <n v="2750000"/>
    <n v="2750000"/>
    <x v="1"/>
    <d v="2026-01-11T00:00:00"/>
    <n v="7000000"/>
    <s v="Referred by agent"/>
    <n v="0"/>
    <s v="Sneha Kapoor"/>
    <n v="2021"/>
    <s v="Excellent"/>
  </r>
  <r>
    <s v="RG-160"/>
    <d v="2024-04-14T00:00:00"/>
    <s v="Meena Shah"/>
    <x v="1"/>
    <x v="1"/>
    <s v="3BHK"/>
    <n v="6800000"/>
    <n v="6800000"/>
    <x v="1"/>
    <d v="2026-09-26T00:00:00"/>
    <n v="7500000"/>
    <s v="N/A"/>
    <n v="0"/>
    <s v="Raj Malhotra"/>
    <n v="2022"/>
    <s v="Excellent"/>
  </r>
  <r>
    <s v="RG-161"/>
    <d v="2024-07-08T00:00:00"/>
    <s v="Amit Verma"/>
    <x v="0"/>
    <x v="0"/>
    <s v="3BHK"/>
    <n v="7100000"/>
    <n v="1500000"/>
    <x v="2"/>
    <d v="2025-11-21T00:00:00"/>
    <n v="9000000"/>
    <s v="Builder referral"/>
    <n v="630"/>
    <s v="Sneha Kapoor"/>
    <n v="2021"/>
    <s v="Below Target"/>
  </r>
  <r>
    <s v="RG-162"/>
    <d v="2024-01-08T00:00:00"/>
    <s v="Amit Verma"/>
    <x v="0"/>
    <x v="0"/>
    <s v="4BHK"/>
    <n v="12850000"/>
    <n v="2400000"/>
    <x v="2"/>
    <d v="2025-12-01T00:00:00"/>
    <n v="9000000"/>
    <s v="N/A"/>
    <n v="812"/>
    <s v="Sneha Kapoor"/>
    <n v="2021"/>
    <s v="Below Target"/>
  </r>
  <r>
    <s v="RG-163"/>
    <d v="2024-10-13T00:00:00"/>
    <s v="Amit Verma"/>
    <x v="0"/>
    <x v="0"/>
    <s v="2BHK"/>
    <n v="4050000"/>
    <n v="1500000"/>
    <x v="2"/>
    <d v="2026-02-25T00:00:00"/>
    <n v="9000000"/>
    <s v="N/A"/>
    <n v="533"/>
    <s v="Sneha Kapoor"/>
    <n v="2021"/>
    <s v="Below Target"/>
  </r>
  <r>
    <s v="RG-164"/>
    <d v="2024-10-12T00:00:00"/>
    <s v="Amit Verma"/>
    <x v="1"/>
    <x v="1"/>
    <s v="4BHK"/>
    <n v="11900000"/>
    <n v="0"/>
    <x v="0"/>
    <d v="2025-11-08T00:00:00"/>
    <n v="9000000"/>
    <s v="N/A"/>
    <n v="0"/>
    <s v="Raj Malhotra"/>
    <n v="2022"/>
    <s v="N/A"/>
  </r>
  <r>
    <s v="RG-165"/>
    <d v="2024-12-03T00:00:00"/>
    <s v="Pooja Desai"/>
    <x v="0"/>
    <x v="0"/>
    <s v="3BHK"/>
    <n v="8600000"/>
    <n v="8600000"/>
    <x v="1"/>
    <d v="2026-01-22T00:00:00"/>
    <n v="8500000"/>
    <s v="Repeat client"/>
    <n v="0"/>
    <s v="Sneha Kapoor"/>
    <n v="2021"/>
    <s v="Excellent"/>
  </r>
  <r>
    <s v="RG-166"/>
    <d v="2024-12-19T00:00:00"/>
    <s v="Meena Shah"/>
    <x v="1"/>
    <x v="1"/>
    <s v="3BHK"/>
    <n v="8050000"/>
    <n v="3000000"/>
    <x v="2"/>
    <d v="2026-09-22T00:00:00"/>
    <n v="7500000"/>
    <s v="NRI buyer"/>
    <n v="466"/>
    <s v="Raj Malhotra"/>
    <n v="2022"/>
    <s v="Below Target"/>
  </r>
  <r>
    <s v="RG-167"/>
    <d v="2024-05-11T00:00:00"/>
    <s v="Ravi Patel"/>
    <x v="0"/>
    <x v="0"/>
    <s v="2BHK"/>
    <n v="4900000"/>
    <n v="0"/>
    <x v="0"/>
    <d v="2026-01-10T00:00:00"/>
    <n v="8000000"/>
    <s v="Walk-in customer"/>
    <n v="0"/>
    <s v="Sneha Kapoor"/>
    <n v="2021"/>
    <s v="N/A"/>
  </r>
  <r>
    <s v="RG-168"/>
    <d v="2024-06-15T00:00:00"/>
    <s v="Meena Shah"/>
    <x v="1"/>
    <x v="1"/>
    <s v="4BHK"/>
    <n v="11650000"/>
    <n v="11650000"/>
    <x v="1"/>
    <d v="2025-09-24T00:00:00"/>
    <n v="7500000"/>
    <s v="Builder referral"/>
    <n v="0"/>
    <s v="Raj Malhotra"/>
    <n v="2022"/>
    <s v="Excellent"/>
  </r>
  <r>
    <s v="RG-169"/>
    <d v="2024-05-05T00:00:00"/>
    <s v="Amit Verma"/>
    <x v="1"/>
    <x v="1"/>
    <s v="4BHK"/>
    <n v="12050000"/>
    <n v="4750000"/>
    <x v="2"/>
    <d v="2026-09-01T00:00:00"/>
    <n v="9000000"/>
    <s v="N/A"/>
    <n v="694"/>
    <s v="Raj Malhotra"/>
    <n v="2022"/>
    <s v="Below Target"/>
  </r>
  <r>
    <s v="RG-170"/>
    <d v="2024-11-19T00:00:00"/>
    <s v="Amit Verma"/>
    <x v="2"/>
    <x v="2"/>
    <s v="1BHK"/>
    <n v="2950000"/>
    <n v="2950000"/>
    <x v="1"/>
    <d v="2027-02-25T00:00:00"/>
    <n v="9000000"/>
    <s v="NRI buyer"/>
    <n v="0"/>
    <s v="Priya Nair"/>
    <n v="2023"/>
    <s v="Excellent"/>
  </r>
  <r>
    <s v="RG-171"/>
    <d v="2024-06-20T00:00:00"/>
    <s v="Pooja Desai"/>
    <x v="2"/>
    <x v="2"/>
    <s v="3BHK"/>
    <n v="7050000"/>
    <n v="7050000"/>
    <x v="1"/>
    <d v="2025-11-10T00:00:00"/>
    <n v="8500000"/>
    <s v="Online inquiry"/>
    <n v="0"/>
    <s v="Priya Nair"/>
    <n v="2023"/>
    <s v="Excellent"/>
  </r>
  <r>
    <s v="RG-172"/>
    <d v="2024-07-04T00:00:00"/>
    <s v="Karan Mehta"/>
    <x v="2"/>
    <x v="2"/>
    <s v="2BHK"/>
    <n v="5600000"/>
    <n v="5600000"/>
    <x v="1"/>
    <d v="2025-07-27T00:00:00"/>
    <n v="7000000"/>
    <s v="Builder referral"/>
    <n v="0"/>
    <s v="Priya Nair"/>
    <n v="2023"/>
    <s v="Excellent"/>
  </r>
  <r>
    <s v="RG-173"/>
    <d v="2024-04-16T00:00:00"/>
    <s v="Karan Mehta"/>
    <x v="1"/>
    <x v="1"/>
    <s v="3BHK"/>
    <n v="8100000"/>
    <n v="8100000"/>
    <x v="1"/>
    <d v="2025-04-08T00:00:00"/>
    <n v="7000000"/>
    <s v="N/A"/>
    <n v="0"/>
    <s v="Raj Malhotra"/>
    <n v="2022"/>
    <s v="Excellent"/>
  </r>
  <r>
    <s v="RG-174"/>
    <d v="2024-03-21T00:00:00"/>
    <s v="Ravi Patel"/>
    <x v="0"/>
    <x v="0"/>
    <s v="2BHK"/>
    <n v="4850000"/>
    <n v="0"/>
    <x v="0"/>
    <d v="2026-04-07T00:00:00"/>
    <n v="8000000"/>
    <s v="N/A"/>
    <n v="0"/>
    <s v="Sneha Kapoor"/>
    <n v="2021"/>
    <s v="N/A"/>
  </r>
  <r>
    <s v="RG-175"/>
    <d v="2024-11-14T00:00:00"/>
    <s v="Karan Mehta"/>
    <x v="0"/>
    <x v="0"/>
    <s v="3BHK"/>
    <n v="7400000"/>
    <n v="1350000"/>
    <x v="2"/>
    <d v="2026-05-05T00:00:00"/>
    <n v="7000000"/>
    <s v="NRI buyer"/>
    <n v="501"/>
    <s v="Sneha Kapoor"/>
    <n v="2021"/>
    <s v="Below Target"/>
  </r>
  <r>
    <s v="RG-176"/>
    <d v="2024-03-20T00:00:00"/>
    <s v="Amit Verma"/>
    <x v="0"/>
    <x v="0"/>
    <s v="3BHK"/>
    <n v="7950000"/>
    <n v="7950000"/>
    <x v="1"/>
    <d v="2026-08-20T00:00:00"/>
    <n v="9000000"/>
    <s v="Builder referral"/>
    <n v="0"/>
    <s v="Sneha Kapoor"/>
    <n v="2021"/>
    <s v="Excellent"/>
  </r>
  <r>
    <s v="RG-177"/>
    <d v="2024-03-24T00:00:00"/>
    <s v="Pooja Desai"/>
    <x v="0"/>
    <x v="0"/>
    <s v="2BHK"/>
    <n v="4050000"/>
    <n v="4050000"/>
    <x v="1"/>
    <d v="2025-06-14T00:00:00"/>
    <n v="8500000"/>
    <s v="NRI buyer"/>
    <n v="0"/>
    <s v="Sneha Kapoor"/>
    <n v="2021"/>
    <s v="Excellent"/>
  </r>
  <r>
    <s v="RG-178"/>
    <d v="2024-10-28T00:00:00"/>
    <s v="Meena Shah"/>
    <x v="1"/>
    <x v="1"/>
    <s v="4BHK"/>
    <n v="13900000"/>
    <n v="5400000"/>
    <x v="2"/>
    <d v="2027-03-30T00:00:00"/>
    <n v="7500000"/>
    <s v="N/A"/>
    <n v="518"/>
    <s v="Raj Malhotra"/>
    <n v="2022"/>
    <s v="Below Target"/>
  </r>
  <r>
    <s v="RG-179"/>
    <d v="2024-08-22T00:00:00"/>
    <s v="Meena Shah"/>
    <x v="1"/>
    <x v="1"/>
    <s v="1BHK"/>
    <n v="2550000"/>
    <n v="2550000"/>
    <x v="1"/>
    <d v="2026-07-09T00:00:00"/>
    <n v="7500000"/>
    <s v="N/A"/>
    <n v="0"/>
    <s v="Raj Malhotra"/>
    <n v="2022"/>
    <s v="Excellent"/>
  </r>
  <r>
    <s v="RG-180"/>
    <d v="2024-12-28T00:00:00"/>
    <s v="Amit Verma"/>
    <x v="1"/>
    <x v="1"/>
    <s v="2BHK"/>
    <n v="4500000"/>
    <n v="0"/>
    <x v="0"/>
    <d v="2025-09-03T00:00:00"/>
    <n v="9000000"/>
    <s v="Repeat client"/>
    <n v="0"/>
    <s v="Raj Malhotra"/>
    <n v="2022"/>
    <s v="N/A"/>
  </r>
  <r>
    <s v="RG-181"/>
    <d v="2024-08-12T00:00:00"/>
    <s v="Ravi Patel"/>
    <x v="1"/>
    <x v="1"/>
    <s v="3BHK"/>
    <n v="8200000"/>
    <n v="8200000"/>
    <x v="1"/>
    <d v="2026-07-05T00:00:00"/>
    <n v="8000000"/>
    <s v="N/A"/>
    <n v="0"/>
    <s v="Raj Malhotra"/>
    <n v="2022"/>
    <s v="Excellent"/>
  </r>
  <r>
    <s v="RG-182"/>
    <d v="2024-11-05T00:00:00"/>
    <s v="Karan Mehta"/>
    <x v="1"/>
    <x v="1"/>
    <s v="4BHK"/>
    <n v="12250000"/>
    <n v="12250000"/>
    <x v="1"/>
    <d v="2027-02-12T00:00:00"/>
    <n v="7000000"/>
    <s v="Builder referral"/>
    <n v="0"/>
    <s v="Raj Malhotra"/>
    <n v="2022"/>
    <s v="Excellent"/>
  </r>
  <r>
    <s v="RG-183"/>
    <d v="2024-10-21T00:00:00"/>
    <s v="Meena Shah"/>
    <x v="1"/>
    <x v="1"/>
    <s v="2BHK"/>
    <n v="4000000"/>
    <n v="800000"/>
    <x v="2"/>
    <d v="2026-11-24T00:00:00"/>
    <n v="7500000"/>
    <s v="N/A"/>
    <n v="525"/>
    <s v="Raj Malhotra"/>
    <n v="2022"/>
    <s v="Below Target"/>
  </r>
  <r>
    <s v="RG-184"/>
    <d v="2024-09-03T00:00:00"/>
    <s v="Amit Verma"/>
    <x v="1"/>
    <x v="1"/>
    <s v="4BHK"/>
    <n v="10450000"/>
    <n v="4050000"/>
    <x v="2"/>
    <d v="2025-07-24T00:00:00"/>
    <n v="9000000"/>
    <s v="Online inquiry"/>
    <n v="573"/>
    <s v="Raj Malhotra"/>
    <n v="2022"/>
    <s v="Below Target"/>
  </r>
  <r>
    <s v="RG-185"/>
    <d v="2024-11-01T00:00:00"/>
    <s v="Pooja Desai"/>
    <x v="1"/>
    <x v="1"/>
    <s v="2BHK"/>
    <n v="5250000"/>
    <n v="700000"/>
    <x v="2"/>
    <d v="2026-12-11T00:00:00"/>
    <n v="8500000"/>
    <s v="Online inquiry"/>
    <n v="514"/>
    <s v="Raj Malhotra"/>
    <n v="2022"/>
    <s v="Below Target"/>
  </r>
  <r>
    <s v="RG-186"/>
    <d v="2024-04-04T00:00:00"/>
    <s v="Karan Mehta"/>
    <x v="0"/>
    <x v="0"/>
    <s v="3BHK"/>
    <n v="6650000"/>
    <n v="6650000"/>
    <x v="1"/>
    <d v="2026-08-16T00:00:00"/>
    <n v="7000000"/>
    <s v="Referred by agent"/>
    <n v="0"/>
    <s v="Sneha Kapoor"/>
    <n v="2021"/>
    <s v="Excellent"/>
  </r>
  <r>
    <s v="RG-187"/>
    <d v="2024-06-06T00:00:00"/>
    <s v="Meena Shah"/>
    <x v="0"/>
    <x v="0"/>
    <s v="1BHK"/>
    <n v="3250000"/>
    <n v="1100000"/>
    <x v="2"/>
    <d v="2026-06-01T00:00:00"/>
    <n v="7500000"/>
    <s v="Walk-in customer"/>
    <n v="662"/>
    <s v="Sneha Kapoor"/>
    <n v="2021"/>
    <s v="Below Target"/>
  </r>
  <r>
    <s v="RG-188"/>
    <d v="2024-06-25T00:00:00"/>
    <s v="Pooja Desai"/>
    <x v="1"/>
    <x v="1"/>
    <s v="3BHK"/>
    <n v="7800000"/>
    <n v="7800000"/>
    <x v="1"/>
    <d v="2025-08-04T00:00:00"/>
    <n v="8500000"/>
    <s v="N/A"/>
    <n v="0"/>
    <s v="Raj Malhotra"/>
    <n v="2022"/>
    <s v="Excellent"/>
  </r>
  <r>
    <s v="RG-189"/>
    <d v="2024-07-10T00:00:00"/>
    <s v="Meena Shah"/>
    <x v="1"/>
    <x v="1"/>
    <s v="1BHK"/>
    <n v="2600000"/>
    <n v="2600000"/>
    <x v="1"/>
    <d v="2025-04-11T00:00:00"/>
    <n v="7500000"/>
    <s v="N/A"/>
    <n v="0"/>
    <s v="Raj Malhotra"/>
    <n v="2022"/>
    <s v="Excellent"/>
  </r>
  <r>
    <s v="RG-190"/>
    <d v="2024-09-11T00:00:00"/>
    <s v="Meena Shah"/>
    <x v="0"/>
    <x v="0"/>
    <s v="2BHK"/>
    <n v="4750000"/>
    <n v="4750000"/>
    <x v="1"/>
    <d v="2025-08-28T00:00:00"/>
    <n v="7500000"/>
    <s v="NRI buyer"/>
    <n v="0"/>
    <s v="Sneha Kapoor"/>
    <n v="2021"/>
    <s v="Excellent"/>
  </r>
  <r>
    <s v="RG-191"/>
    <d v="2024-10-20T00:00:00"/>
    <s v="Pooja Desai"/>
    <x v="1"/>
    <x v="1"/>
    <s v="2BHK"/>
    <n v="4250000"/>
    <n v="450000"/>
    <x v="2"/>
    <d v="2026-03-16T00:00:00"/>
    <n v="8500000"/>
    <s v="Walk-in customer"/>
    <n v="526"/>
    <s v="Raj Malhotra"/>
    <n v="2022"/>
    <s v="Below Target"/>
  </r>
  <r>
    <s v="RG-192"/>
    <d v="2024-11-30T00:00:00"/>
    <s v="Amit Verma"/>
    <x v="0"/>
    <x v="0"/>
    <s v="3BHK"/>
    <n v="7000000"/>
    <n v="1350000"/>
    <x v="2"/>
    <d v="2026-07-18T00:00:00"/>
    <n v="9000000"/>
    <s v="N/A"/>
    <n v="485"/>
    <s v="Sneha Kapoor"/>
    <n v="2021"/>
    <s v="Below Target"/>
  </r>
  <r>
    <s v="RG-193"/>
    <d v="2024-05-20T00:00:00"/>
    <s v="Meena Shah"/>
    <x v="0"/>
    <x v="0"/>
    <s v="3BHK"/>
    <n v="7200000"/>
    <n v="2750000"/>
    <x v="2"/>
    <d v="2025-04-22T00:00:00"/>
    <n v="7500000"/>
    <s v="Walk-in customer"/>
    <n v="679"/>
    <s v="Sneha Kapoor"/>
    <n v="2021"/>
    <s v="Below Target"/>
  </r>
  <r>
    <s v="RG-194"/>
    <d v="2024-03-20T00:00:00"/>
    <s v="Meena Shah"/>
    <x v="0"/>
    <x v="0"/>
    <s v="3BHK"/>
    <n v="8750000"/>
    <n v="8750000"/>
    <x v="1"/>
    <d v="2025-08-03T00:00:00"/>
    <n v="7500000"/>
    <s v="Referred by agent"/>
    <n v="0"/>
    <s v="Sneha Kapoor"/>
    <n v="2021"/>
    <s v="Excellent"/>
  </r>
  <r>
    <s v="RG-195"/>
    <d v="2024-08-15T00:00:00"/>
    <s v="Meena Shah"/>
    <x v="0"/>
    <x v="0"/>
    <s v="1BHK"/>
    <n v="2850000"/>
    <n v="2850000"/>
    <x v="1"/>
    <d v="2025-12-08T00:00:00"/>
    <n v="7500000"/>
    <s v="Repeat client"/>
    <n v="0"/>
    <s v="Sneha Kapoor"/>
    <n v="2021"/>
    <s v="Excellent"/>
  </r>
  <r>
    <s v="RG-196"/>
    <d v="2024-01-24T00:00:00"/>
    <s v="Karan Mehta"/>
    <x v="0"/>
    <x v="0"/>
    <s v="4BHK"/>
    <n v="13000000"/>
    <n v="3800000"/>
    <x v="2"/>
    <d v="2025-12-13T00:00:00"/>
    <n v="7000000"/>
    <s v="N/A"/>
    <n v="796"/>
    <s v="Sneha Kapoor"/>
    <n v="2021"/>
    <s v="Below Target"/>
  </r>
  <r>
    <s v="RG-197"/>
    <d v="2024-09-02T00:00:00"/>
    <s v="Meena Shah"/>
    <x v="1"/>
    <x v="1"/>
    <s v="3BHK"/>
    <n v="7650000"/>
    <n v="7650000"/>
    <x v="1"/>
    <d v="2025-06-20T00:00:00"/>
    <n v="7500000"/>
    <s v="Online inquiry"/>
    <n v="0"/>
    <s v="Raj Malhotra"/>
    <n v="2022"/>
    <s v="Excellent"/>
  </r>
  <r>
    <s v="RG-198"/>
    <d v="2024-03-03T00:00:00"/>
    <s v="Amit Verma"/>
    <x v="0"/>
    <x v="0"/>
    <s v="1BHK"/>
    <n v="2550000"/>
    <n v="2550000"/>
    <x v="1"/>
    <d v="2025-09-27T00:00:00"/>
    <n v="9000000"/>
    <s v="N/A"/>
    <n v="0"/>
    <s v="Sneha Kapoor"/>
    <n v="2021"/>
    <s v="Excellent"/>
  </r>
  <r>
    <s v="RG-199"/>
    <d v="2024-02-06T00:00:00"/>
    <s v="Meena Shah"/>
    <x v="2"/>
    <x v="2"/>
    <s v="3BHK"/>
    <n v="7350000"/>
    <n v="1000000"/>
    <x v="2"/>
    <d v="2025-03-22T00:00:00"/>
    <n v="7500000"/>
    <s v="Walk-in customer"/>
    <n v="783"/>
    <s v="Priya Nair"/>
    <n v="2023"/>
    <s v="Below Target"/>
  </r>
  <r>
    <s v="RG-200"/>
    <d v="2024-09-28T00:00:00"/>
    <s v="Amit Verma"/>
    <x v="1"/>
    <x v="1"/>
    <s v="2BHK"/>
    <n v="5450000"/>
    <n v="1000000"/>
    <x v="2"/>
    <d v="2025-12-09T00:00:00"/>
    <n v="9000000"/>
    <s v="Online inquiry"/>
    <n v="548"/>
    <s v="Raj Malhotra"/>
    <n v="2022"/>
    <s v="Below Target"/>
  </r>
  <r>
    <s v="RG-201"/>
    <d v="2024-09-10T00:00:00"/>
    <s v="Meena Shah"/>
    <x v="1"/>
    <x v="1"/>
    <s v="1BHK"/>
    <n v="2500000"/>
    <n v="2500000"/>
    <x v="1"/>
    <d v="2026-10-11T00:00:00"/>
    <n v="7500000"/>
    <s v="NRI buyer"/>
    <n v="0"/>
    <s v="Raj Malhotra"/>
    <n v="2022"/>
    <s v="Excellent"/>
  </r>
  <r>
    <s v="RG-202"/>
    <d v="2024-09-04T00:00:00"/>
    <s v="Pooja Desai"/>
    <x v="1"/>
    <x v="1"/>
    <s v="2BHK"/>
    <n v="5800000"/>
    <n v="5800000"/>
    <x v="1"/>
    <d v="2025-05-30T00:00:00"/>
    <n v="8500000"/>
    <s v="Builder referral"/>
    <n v="0"/>
    <s v="Raj Malhotra"/>
    <n v="2022"/>
    <s v="Excellent"/>
  </r>
  <r>
    <s v="RG-203"/>
    <d v="2024-06-24T00:00:00"/>
    <s v="Ravi Patel"/>
    <x v="0"/>
    <x v="0"/>
    <s v="3BHK"/>
    <n v="7500000"/>
    <n v="1150000"/>
    <x v="2"/>
    <d v="2025-06-02T00:00:00"/>
    <n v="8000000"/>
    <s v="Repeat client"/>
    <n v="644"/>
    <s v="Sneha Kapoor"/>
    <n v="2021"/>
    <s v="Below Target"/>
  </r>
  <r>
    <s v="RG-204"/>
    <d v="2024-06-19T00:00:00"/>
    <s v="Meena Shah"/>
    <x v="1"/>
    <x v="1"/>
    <s v="2BHK"/>
    <n v="5550000"/>
    <n v="1450000"/>
    <x v="2"/>
    <d v="2026-02-26T00:00:00"/>
    <n v="7500000"/>
    <s v="N/A"/>
    <n v="649"/>
    <s v="Raj Malhotra"/>
    <n v="2022"/>
    <s v="Below Target"/>
  </r>
  <r>
    <s v="RG-205"/>
    <d v="2024-06-02T00:00:00"/>
    <s v="Ravi Patel"/>
    <x v="2"/>
    <x v="2"/>
    <s v="4BHK"/>
    <n v="9750000"/>
    <n v="9750000"/>
    <x v="1"/>
    <d v="2026-01-18T00:00:00"/>
    <n v="8000000"/>
    <s v="N/A"/>
    <n v="0"/>
    <s v="Priya Nair"/>
    <n v="2023"/>
    <s v="Excellent"/>
  </r>
  <r>
    <s v="RG-206"/>
    <d v="2024-11-01T00:00:00"/>
    <s v="Pooja Desai"/>
    <x v="0"/>
    <x v="0"/>
    <s v="3BHK"/>
    <n v="6700000"/>
    <n v="1650000"/>
    <x v="2"/>
    <d v="2026-10-18T00:00:00"/>
    <n v="8500000"/>
    <s v="N/A"/>
    <n v="514"/>
    <s v="Sneha Kapoor"/>
    <n v="2021"/>
    <s v="Below Target"/>
  </r>
  <r>
    <s v="RG-207"/>
    <d v="2024-01-04T00:00:00"/>
    <s v="Ravi Patel"/>
    <x v="0"/>
    <x v="0"/>
    <s v="2BHK"/>
    <n v="4150000"/>
    <n v="4150000"/>
    <x v="1"/>
    <d v="2025-06-05T00:00:00"/>
    <n v="8000000"/>
    <s v="NRI buyer"/>
    <n v="0"/>
    <s v="Sneha Kapoor"/>
    <n v="2021"/>
    <s v="Excellent"/>
  </r>
  <r>
    <s v="RG-208"/>
    <d v="2024-05-13T00:00:00"/>
    <s v="Pooja Desai"/>
    <x v="1"/>
    <x v="1"/>
    <s v="2BHK"/>
    <n v="4650000"/>
    <n v="1450000"/>
    <x v="2"/>
    <d v="2024-11-20T00:00:00"/>
    <n v="8500000"/>
    <s v="Builder referral"/>
    <n v="686"/>
    <s v="Raj Malhotra"/>
    <n v="2022"/>
    <s v="Below Target"/>
  </r>
  <r>
    <s v="RG-209"/>
    <d v="2024-03-02T00:00:00"/>
    <s v="Meena Shah"/>
    <x v="0"/>
    <x v="0"/>
    <s v="2BHK"/>
    <n v="4450000"/>
    <n v="0"/>
    <x v="0"/>
    <d v="2026-01-06T00:00:00"/>
    <n v="7500000"/>
    <s v="Builder referral"/>
    <n v="0"/>
    <s v="Sneha Kapoor"/>
    <n v="2021"/>
    <s v="N/A"/>
  </r>
  <r>
    <s v="RG-210"/>
    <d v="2024-06-22T00:00:00"/>
    <s v="Karan Mehta"/>
    <x v="1"/>
    <x v="1"/>
    <s v="1BHK"/>
    <n v="2850000"/>
    <n v="2850000"/>
    <x v="1"/>
    <d v="2026-07-13T00:00:00"/>
    <n v="7000000"/>
    <s v="N/A"/>
    <n v="0"/>
    <s v="Raj Malhotra"/>
    <n v="2022"/>
    <s v="Excellent"/>
  </r>
  <r>
    <s v="RG-211"/>
    <d v="2024-05-28T00:00:00"/>
    <s v="Amit Verma"/>
    <x v="1"/>
    <x v="1"/>
    <s v="2BHK"/>
    <n v="4950000"/>
    <n v="4950000"/>
    <x v="1"/>
    <d v="2026-10-30T00:00:00"/>
    <n v="9000000"/>
    <s v="Referred by agent"/>
    <n v="0"/>
    <s v="Raj Malhotra"/>
    <n v="2022"/>
    <s v="Excellent"/>
  </r>
  <r>
    <s v="RG-212"/>
    <d v="2024-01-11T00:00:00"/>
    <s v="Pooja Desai"/>
    <x v="0"/>
    <x v="0"/>
    <s v="3BHK"/>
    <n v="8100000"/>
    <n v="8100000"/>
    <x v="1"/>
    <d v="2025-03-25T00:00:00"/>
    <n v="8500000"/>
    <s v="Referred by agent"/>
    <n v="0"/>
    <s v="Sneha Kapoor"/>
    <n v="2021"/>
    <s v="Excellent"/>
  </r>
  <r>
    <s v="RG-213"/>
    <d v="2024-06-20T00:00:00"/>
    <s v="Ravi Patel"/>
    <x v="1"/>
    <x v="1"/>
    <s v="4BHK"/>
    <n v="12100000"/>
    <n v="12100000"/>
    <x v="1"/>
    <d v="2025-07-15T00:00:00"/>
    <n v="8000000"/>
    <s v="N/A"/>
    <n v="0"/>
    <s v="Raj Malhotra"/>
    <n v="2022"/>
    <s v="Excellent"/>
  </r>
  <r>
    <s v="RG-214"/>
    <d v="2024-06-09T00:00:00"/>
    <s v="Ravi Patel"/>
    <x v="0"/>
    <x v="0"/>
    <s v="2BHK"/>
    <n v="4800000"/>
    <n v="0"/>
    <x v="0"/>
    <d v="2025-04-29T00:00:00"/>
    <n v="8000000"/>
    <s v="N/A"/>
    <n v="0"/>
    <s v="Sneha Kapoor"/>
    <n v="2021"/>
    <s v="N/A"/>
  </r>
  <r>
    <s v="RG-215"/>
    <d v="2024-08-26T00:00:00"/>
    <s v="Karan Mehta"/>
    <x v="1"/>
    <x v="1"/>
    <s v="2BHK"/>
    <n v="4750000"/>
    <n v="1750000"/>
    <x v="2"/>
    <d v="2026-06-14T00:00:00"/>
    <n v="7000000"/>
    <s v="NRI buyer"/>
    <n v="581"/>
    <s v="Raj Malhotra"/>
    <n v="2022"/>
    <s v="Below Target"/>
  </r>
  <r>
    <s v="RG-216"/>
    <d v="2024-10-06T00:00:00"/>
    <s v="Meena Shah"/>
    <x v="1"/>
    <x v="1"/>
    <s v="1BHK"/>
    <n v="2750000"/>
    <n v="550000"/>
    <x v="2"/>
    <d v="2027-03-15T00:00:00"/>
    <n v="7500000"/>
    <s v="Referred by agent"/>
    <n v="540"/>
    <s v="Raj Malhotra"/>
    <n v="2022"/>
    <s v="Below Target"/>
  </r>
  <r>
    <s v="RG-217"/>
    <d v="2024-03-15T00:00:00"/>
    <s v="Meena Shah"/>
    <x v="1"/>
    <x v="1"/>
    <s v="3BHK"/>
    <n v="7100000"/>
    <n v="0"/>
    <x v="0"/>
    <d v="2026-01-04T00:00:00"/>
    <n v="7500000"/>
    <s v="N/A"/>
    <n v="0"/>
    <s v="Raj Malhotra"/>
    <n v="2022"/>
    <s v="N/A"/>
  </r>
  <r>
    <s v="RG-218"/>
    <d v="2024-05-03T00:00:00"/>
    <s v="Meena Shah"/>
    <x v="0"/>
    <x v="0"/>
    <s v="2BHK"/>
    <n v="5250000"/>
    <n v="0"/>
    <x v="0"/>
    <d v="2026-10-20T00:00:00"/>
    <n v="7500000"/>
    <s v="Referred by agent"/>
    <n v="0"/>
    <s v="Sneha Kapoor"/>
    <n v="2021"/>
    <s v="N/A"/>
  </r>
  <r>
    <s v="RG-219"/>
    <d v="2024-11-08T00:00:00"/>
    <s v="Pooja Desai"/>
    <x v="0"/>
    <x v="0"/>
    <s v="2BHK"/>
    <n v="5900000"/>
    <n v="850000"/>
    <x v="2"/>
    <d v="2026-08-22T00:00:00"/>
    <n v="8500000"/>
    <s v="Builder referral"/>
    <n v="507"/>
    <s v="Sneha Kapoor"/>
    <n v="2021"/>
    <s v="Below Target"/>
  </r>
  <r>
    <s v="RG-220"/>
    <d v="2024-05-04T00:00:00"/>
    <s v="Pooja Desai"/>
    <x v="0"/>
    <x v="0"/>
    <s v="1BHK"/>
    <n v="2600000"/>
    <n v="0"/>
    <x v="0"/>
    <d v="2026-01-15T00:00:00"/>
    <n v="8500000"/>
    <s v="Repeat client"/>
    <n v="0"/>
    <s v="Sneha Kapoor"/>
    <n v="2021"/>
    <s v="N/A"/>
  </r>
  <r>
    <s v="RG-221"/>
    <d v="2024-05-31T00:00:00"/>
    <s v="Karan Mehta"/>
    <x v="0"/>
    <x v="0"/>
    <s v="2BHK"/>
    <n v="5300000"/>
    <n v="0"/>
    <x v="0"/>
    <d v="2026-01-16T00:00:00"/>
    <n v="7000000"/>
    <s v="N/A"/>
    <n v="0"/>
    <s v="Sneha Kapoor"/>
    <n v="2021"/>
    <s v="N/A"/>
  </r>
  <r>
    <s v="RG-222"/>
    <d v="2024-04-02T00:00:00"/>
    <s v="Ravi Patel"/>
    <x v="0"/>
    <x v="0"/>
    <s v="1BHK"/>
    <n v="3450000"/>
    <n v="3450000"/>
    <x v="1"/>
    <d v="2024-11-27T00:00:00"/>
    <n v="8000000"/>
    <s v="N/A"/>
    <n v="0"/>
    <s v="Sneha Kapoor"/>
    <n v="2021"/>
    <s v="Excellent"/>
  </r>
  <r>
    <s v="RG-223"/>
    <d v="2024-07-04T00:00:00"/>
    <s v="Karan Mehta"/>
    <x v="1"/>
    <x v="1"/>
    <s v="3BHK"/>
    <n v="7450000"/>
    <n v="850000"/>
    <x v="2"/>
    <d v="2026-11-05T00:00:00"/>
    <n v="7000000"/>
    <s v="N/A"/>
    <n v="634"/>
    <s v="Raj Malhotra"/>
    <n v="2022"/>
    <s v="Below Target"/>
  </r>
  <r>
    <s v="RG-224"/>
    <d v="2024-11-17T00:00:00"/>
    <s v="Amit Verma"/>
    <x v="0"/>
    <x v="0"/>
    <s v="2BHK"/>
    <n v="4950000"/>
    <n v="0"/>
    <x v="0"/>
    <d v="2026-03-22T00:00:00"/>
    <n v="9000000"/>
    <s v="Builder referral"/>
    <n v="0"/>
    <s v="Sneha Kapoor"/>
    <n v="2021"/>
    <s v="N/A"/>
  </r>
  <r>
    <s v="RG-225"/>
    <d v="2024-08-18T00:00:00"/>
    <s v="Pooja Desai"/>
    <x v="1"/>
    <x v="1"/>
    <s v="2BHK"/>
    <n v="5850000"/>
    <n v="1700000"/>
    <x v="2"/>
    <d v="2025-08-19T00:00:00"/>
    <n v="8500000"/>
    <s v="Walk-in customer"/>
    <n v="589"/>
    <s v="Raj Malhotra"/>
    <n v="2022"/>
    <s v="Below Target"/>
  </r>
  <r>
    <s v="RG-226"/>
    <d v="2024-12-15T00:00:00"/>
    <s v="Meena Shah"/>
    <x v="1"/>
    <x v="1"/>
    <s v="4BHK"/>
    <n v="12900000"/>
    <n v="4200000"/>
    <x v="2"/>
    <d v="2026-02-10T00:00:00"/>
    <n v="7500000"/>
    <s v="Walk-in customer"/>
    <n v="470"/>
    <s v="Raj Malhotra"/>
    <n v="2022"/>
    <s v="Below Target"/>
  </r>
  <r>
    <s v="RG-227"/>
    <d v="2024-01-04T00:00:00"/>
    <s v="Pooja Desai"/>
    <x v="0"/>
    <x v="0"/>
    <s v="1BHK"/>
    <n v="3250000"/>
    <n v="3250000"/>
    <x v="1"/>
    <d v="2024-07-11T00:00:00"/>
    <n v="8500000"/>
    <s v="Online inquiry"/>
    <n v="0"/>
    <s v="Sneha Kapoor"/>
    <n v="2021"/>
    <s v="Excellent"/>
  </r>
  <r>
    <s v="RG-228"/>
    <d v="2024-05-03T00:00:00"/>
    <s v="Meena Shah"/>
    <x v="0"/>
    <x v="0"/>
    <s v="4BHK"/>
    <n v="13400000"/>
    <n v="13400000"/>
    <x v="1"/>
    <d v="2026-05-28T00:00:00"/>
    <n v="7500000"/>
    <s v="N/A"/>
    <n v="0"/>
    <s v="Sneha Kapoor"/>
    <n v="2021"/>
    <s v="Excellent"/>
  </r>
  <r>
    <s v="RG-229"/>
    <d v="2024-03-15T00:00:00"/>
    <s v="Ravi Patel"/>
    <x v="1"/>
    <x v="1"/>
    <s v="2BHK"/>
    <n v="4300000"/>
    <n v="4300000"/>
    <x v="1"/>
    <d v="2025-08-14T00:00:00"/>
    <n v="8000000"/>
    <s v="Online inquiry"/>
    <n v="0"/>
    <s v="Raj Malhotra"/>
    <n v="2022"/>
    <s v="Excellent"/>
  </r>
  <r>
    <s v="RG-230"/>
    <d v="2024-03-01T00:00:00"/>
    <s v="Karan Mehta"/>
    <x v="2"/>
    <x v="2"/>
    <s v="3BHK"/>
    <n v="7450000"/>
    <n v="1600000"/>
    <x v="2"/>
    <d v="2025-11-24T00:00:00"/>
    <n v="7000000"/>
    <s v="Builder referral"/>
    <n v="759"/>
    <s v="Priya Nair"/>
    <n v="2023"/>
    <s v="Below Target"/>
  </r>
  <r>
    <s v="RG-231"/>
    <d v="2024-10-19T00:00:00"/>
    <s v="Meena Shah"/>
    <x v="1"/>
    <x v="1"/>
    <s v="3BHK"/>
    <n v="7150000"/>
    <n v="7150000"/>
    <x v="1"/>
    <d v="2026-07-22T00:00:00"/>
    <n v="7500000"/>
    <s v="NRI buyer"/>
    <n v="0"/>
    <s v="Raj Malhotra"/>
    <n v="2022"/>
    <s v="Excellent"/>
  </r>
  <r>
    <s v="RG-232"/>
    <d v="2024-02-22T00:00:00"/>
    <s v="Meena Shah"/>
    <x v="0"/>
    <x v="0"/>
    <s v="4BHK"/>
    <n v="11350000"/>
    <n v="11350000"/>
    <x v="1"/>
    <d v="2025-03-10T00:00:00"/>
    <n v="7500000"/>
    <s v="N/A"/>
    <n v="0"/>
    <s v="Sneha Kapoor"/>
    <n v="2021"/>
    <s v="Excellent"/>
  </r>
  <r>
    <s v="RG-233"/>
    <d v="2024-05-26T00:00:00"/>
    <s v="Amit Verma"/>
    <x v="0"/>
    <x v="0"/>
    <s v="4BHK"/>
    <n v="12300000"/>
    <n v="12300000"/>
    <x v="1"/>
    <d v="2025-03-29T00:00:00"/>
    <n v="9000000"/>
    <s v="Repeat client"/>
    <n v="0"/>
    <s v="Sneha Kapoor"/>
    <n v="2021"/>
    <s v="Excellent"/>
  </r>
  <r>
    <s v="RG-234"/>
    <d v="2024-03-19T00:00:00"/>
    <s v="Pooja Desai"/>
    <x v="2"/>
    <x v="2"/>
    <s v="2BHK"/>
    <n v="4850000"/>
    <n v="0"/>
    <x v="0"/>
    <d v="2026-03-31T00:00:00"/>
    <n v="8500000"/>
    <s v="N/A"/>
    <n v="0"/>
    <s v="Priya Nair"/>
    <n v="2023"/>
    <s v="N/A"/>
  </r>
  <r>
    <s v="RG-235"/>
    <d v="2024-12-17T00:00:00"/>
    <s v="Amit Verma"/>
    <x v="1"/>
    <x v="1"/>
    <s v="1BHK"/>
    <n v="2900000"/>
    <n v="2900000"/>
    <x v="1"/>
    <d v="2025-12-26T00:00:00"/>
    <n v="9000000"/>
    <s v="NRI buyer"/>
    <n v="0"/>
    <s v="Raj Malhotra"/>
    <n v="2022"/>
    <s v="Excellent"/>
  </r>
  <r>
    <s v="RG-236"/>
    <d v="2024-05-25T00:00:00"/>
    <s v="Amit Verma"/>
    <x v="2"/>
    <x v="2"/>
    <s v="3BHK"/>
    <n v="7150000"/>
    <n v="7150000"/>
    <x v="1"/>
    <d v="2025-02-12T00:00:00"/>
    <n v="9000000"/>
    <s v="Walk-in customer"/>
    <n v="0"/>
    <s v="Priya Nair"/>
    <n v="2023"/>
    <s v="Excellent"/>
  </r>
  <r>
    <s v="RG-237"/>
    <d v="2024-12-05T00:00:00"/>
    <s v="Karan Mehta"/>
    <x v="0"/>
    <x v="0"/>
    <s v="3BHK"/>
    <n v="7800000"/>
    <n v="7800000"/>
    <x v="1"/>
    <d v="2025-12-23T00:00:00"/>
    <n v="7000000"/>
    <s v="Walk-in customer"/>
    <n v="0"/>
    <s v="Sneha Kapoor"/>
    <n v="2021"/>
    <s v="Excellent"/>
  </r>
  <r>
    <s v="RG-238"/>
    <d v="2024-12-12T00:00:00"/>
    <s v="Meena Shah"/>
    <x v="2"/>
    <x v="2"/>
    <s v="2BHK"/>
    <n v="5600000"/>
    <n v="0"/>
    <x v="0"/>
    <d v="2026-09-12T00:00:00"/>
    <n v="7500000"/>
    <s v="Online inquiry"/>
    <n v="0"/>
    <s v="Priya Nair"/>
    <n v="2023"/>
    <s v="N/A"/>
  </r>
  <r>
    <s v="RG-239"/>
    <d v="2024-05-08T00:00:00"/>
    <s v="Ravi Patel"/>
    <x v="1"/>
    <x v="1"/>
    <s v="3BHK"/>
    <n v="6950000"/>
    <n v="0"/>
    <x v="0"/>
    <d v="2026-04-16T00:00:00"/>
    <n v="8000000"/>
    <s v="NRI buyer"/>
    <n v="0"/>
    <s v="Raj Malhotra"/>
    <n v="2022"/>
    <s v="N/A"/>
  </r>
  <r>
    <s v="RG-240"/>
    <d v="2024-04-01T00:00:00"/>
    <s v="Amit Verma"/>
    <x v="0"/>
    <x v="0"/>
    <s v="2BHK"/>
    <n v="4100000"/>
    <n v="4100000"/>
    <x v="1"/>
    <d v="2026-04-17T00:00:00"/>
    <n v="9000000"/>
    <s v="Builder referral"/>
    <n v="0"/>
    <s v="Sneha Kapoor"/>
    <n v="2021"/>
    <s v="Excellent"/>
  </r>
  <r>
    <s v="RG-241"/>
    <d v="2024-01-15T00:00:00"/>
    <s v="Ravi Patel"/>
    <x v="1"/>
    <x v="1"/>
    <s v="2BHK"/>
    <n v="5200000"/>
    <n v="5200000"/>
    <x v="1"/>
    <d v="2024-08-21T00:00:00"/>
    <n v="8000000"/>
    <s v="NRI buyer"/>
    <n v="0"/>
    <s v="Raj Malhotra"/>
    <n v="2022"/>
    <s v="Excellent"/>
  </r>
  <r>
    <s v="RG-242"/>
    <d v="2024-12-19T00:00:00"/>
    <s v="Ravi Patel"/>
    <x v="2"/>
    <x v="2"/>
    <s v="2BHK"/>
    <n v="4450000"/>
    <n v="1250000"/>
    <x v="2"/>
    <d v="2025-12-27T00:00:00"/>
    <n v="8000000"/>
    <s v="N/A"/>
    <n v="466"/>
    <s v="Priya Nair"/>
    <n v="2023"/>
    <s v="Below Target"/>
  </r>
  <r>
    <s v="RG-243"/>
    <d v="2024-02-07T00:00:00"/>
    <s v="Amit Verma"/>
    <x v="1"/>
    <x v="1"/>
    <s v="2BHK"/>
    <n v="5550000"/>
    <n v="5550000"/>
    <x v="1"/>
    <d v="2026-02-16T00:00:00"/>
    <n v="9000000"/>
    <s v="NRI buyer"/>
    <n v="0"/>
    <s v="Raj Malhotra"/>
    <n v="2022"/>
    <s v="Excellent"/>
  </r>
  <r>
    <s v="RG-244"/>
    <d v="2024-12-20T00:00:00"/>
    <s v="Karan Mehta"/>
    <x v="0"/>
    <x v="0"/>
    <s v="3BHK"/>
    <n v="8350000"/>
    <n v="8350000"/>
    <x v="1"/>
    <d v="2026-08-12T00:00:00"/>
    <n v="7000000"/>
    <s v="Repeat client"/>
    <n v="0"/>
    <s v="Sneha Kapoor"/>
    <n v="2021"/>
    <s v="Excellent"/>
  </r>
  <r>
    <s v="RG-245"/>
    <d v="2024-02-19T00:00:00"/>
    <s v="Amit Verma"/>
    <x v="2"/>
    <x v="2"/>
    <s v="1BHK"/>
    <n v="3100000"/>
    <n v="850000"/>
    <x v="2"/>
    <d v="2026-07-04T00:00:00"/>
    <n v="9000000"/>
    <s v="NRI buyer"/>
    <n v="770"/>
    <s v="Priya Nair"/>
    <n v="2023"/>
    <s v="Below Target"/>
  </r>
  <r>
    <s v="RG-246"/>
    <d v="2024-04-22T00:00:00"/>
    <s v="Amit Verma"/>
    <x v="0"/>
    <x v="0"/>
    <s v="2BHK"/>
    <n v="5700000"/>
    <n v="5700000"/>
    <x v="1"/>
    <d v="2025-09-07T00:00:00"/>
    <n v="9000000"/>
    <s v="N/A"/>
    <n v="0"/>
    <s v="Sneha Kapoor"/>
    <n v="2021"/>
    <s v="Excellent"/>
  </r>
  <r>
    <s v="RG-247"/>
    <d v="2024-10-11T00:00:00"/>
    <s v="Meena Shah"/>
    <x v="0"/>
    <x v="0"/>
    <s v="2BHK"/>
    <n v="4650000"/>
    <n v="1350000"/>
    <x v="2"/>
    <d v="2026-04-11T00:00:00"/>
    <n v="7500000"/>
    <s v="Referred by agent"/>
    <n v="535"/>
    <s v="Sneha Kapoor"/>
    <n v="2021"/>
    <s v="Below Target"/>
  </r>
  <r>
    <s v="RG-248"/>
    <d v="2024-01-14T00:00:00"/>
    <s v="Ravi Patel"/>
    <x v="0"/>
    <x v="0"/>
    <s v="4BHK"/>
    <n v="11750000"/>
    <n v="1300000"/>
    <x v="2"/>
    <d v="2025-01-07T00:00:00"/>
    <n v="8000000"/>
    <s v="N/A"/>
    <n v="806"/>
    <s v="Sneha Kapoor"/>
    <n v="2021"/>
    <s v="Below Target"/>
  </r>
  <r>
    <s v="RG-249"/>
    <d v="2024-02-29T00:00:00"/>
    <s v="Pooja Desai"/>
    <x v="0"/>
    <x v="0"/>
    <s v="3BHK"/>
    <n v="8800000"/>
    <n v="1950000"/>
    <x v="2"/>
    <d v="2025-03-07T00:00:00"/>
    <n v="8500000"/>
    <s v="N/A"/>
    <n v="760"/>
    <s v="Sneha Kapoor"/>
    <n v="2021"/>
    <s v="Below Target"/>
  </r>
  <r>
    <s v="RG-250"/>
    <d v="2024-08-24T00:00:00"/>
    <s v="Ravi Patel"/>
    <x v="0"/>
    <x v="0"/>
    <s v="2BHK"/>
    <n v="5950000"/>
    <n v="0"/>
    <x v="0"/>
    <d v="2025-12-15T00:00:00"/>
    <n v="8000000"/>
    <s v="N/A"/>
    <n v="0"/>
    <s v="Sneha Kapoor"/>
    <n v="2021"/>
    <s v="N/A"/>
  </r>
  <r>
    <s v="RG-251"/>
    <d v="2024-07-24T00:00:00"/>
    <s v="Karan Mehta"/>
    <x v="0"/>
    <x v="0"/>
    <s v="2BHK"/>
    <n v="5500000"/>
    <n v="5500000"/>
    <x v="1"/>
    <d v="2026-05-20T00:00:00"/>
    <n v="7000000"/>
    <s v="N/A"/>
    <n v="0"/>
    <s v="Sneha Kapoor"/>
    <n v="2021"/>
    <s v="Excellent"/>
  </r>
  <r>
    <s v="RG-252"/>
    <d v="2024-07-18T00:00:00"/>
    <s v="Pooja Desai"/>
    <x v="0"/>
    <x v="0"/>
    <s v="2BHK"/>
    <n v="4450000"/>
    <n v="4450000"/>
    <x v="1"/>
    <d v="2026-04-05T00:00:00"/>
    <n v="8500000"/>
    <s v="N/A"/>
    <n v="0"/>
    <s v="Sneha Kapoor"/>
    <n v="2021"/>
    <s v="Excellent"/>
  </r>
  <r>
    <s v="RG-253"/>
    <d v="2024-11-08T00:00:00"/>
    <s v="Pooja Desai"/>
    <x v="0"/>
    <x v="0"/>
    <s v="2BHK"/>
    <n v="5900000"/>
    <n v="850000"/>
    <x v="2"/>
    <d v="2026-08-22T00:00:00"/>
    <n v="8500000"/>
    <s v="Builder referral"/>
    <n v="507"/>
    <s v="Sneha Kapoor"/>
    <n v="2021"/>
    <s v="Below Target"/>
  </r>
  <r>
    <s v="RG-254"/>
    <d v="2024-10-28T00:00:00"/>
    <s v="Amit Verma"/>
    <x v="2"/>
    <x v="2"/>
    <s v="3BHK"/>
    <n v="8300000"/>
    <n v="8300000"/>
    <x v="1"/>
    <d v="2027-01-16T00:00:00"/>
    <n v="9000000"/>
    <s v="Walk-in customer"/>
    <n v="0"/>
    <s v="Priya Nair"/>
    <n v="2023"/>
    <s v="Excellent"/>
  </r>
  <r>
    <s v="RG-255"/>
    <d v="2024-12-01T00:00:00"/>
    <s v="Ravi Patel"/>
    <x v="1"/>
    <x v="1"/>
    <s v="2BHK"/>
    <n v="5600000"/>
    <n v="1850000"/>
    <x v="2"/>
    <d v="2026-09-01T00:00:00"/>
    <n v="8000000"/>
    <s v="Repeat client"/>
    <n v="484"/>
    <s v="Raj Malhotra"/>
    <n v="2022"/>
    <s v="Below Target"/>
  </r>
  <r>
    <s v="RG-256"/>
    <d v="2024-12-14T00:00:00"/>
    <s v="Pooja Desai"/>
    <x v="1"/>
    <x v="1"/>
    <s v="2BHK"/>
    <n v="5250000"/>
    <n v="1350000"/>
    <x v="2"/>
    <d v="2026-12-30T00:00:00"/>
    <n v="8500000"/>
    <s v="Referred by agent"/>
    <n v="471"/>
    <s v="Raj Malhotra"/>
    <n v="2022"/>
    <s v="Below Target"/>
  </r>
  <r>
    <s v="RG-257"/>
    <d v="2024-11-28T00:00:00"/>
    <s v="Ravi Patel"/>
    <x v="2"/>
    <x v="2"/>
    <s v="1BHK"/>
    <n v="3300000"/>
    <n v="3300000"/>
    <x v="1"/>
    <d v="2026-02-04T00:00:00"/>
    <n v="8000000"/>
    <s v="Online inquiry"/>
    <n v="0"/>
    <s v="Priya Nair"/>
    <n v="2023"/>
    <s v="Excellent"/>
  </r>
  <r>
    <s v="RG-258"/>
    <d v="2024-11-12T00:00:00"/>
    <s v="Pooja Desai"/>
    <x v="1"/>
    <x v="1"/>
    <s v="1BHK"/>
    <n v="2950000"/>
    <n v="2950000"/>
    <x v="1"/>
    <d v="2026-01-15T00:00:00"/>
    <n v="8500000"/>
    <s v="N/A"/>
    <n v="0"/>
    <s v="Raj Malhotra"/>
    <n v="2022"/>
    <s v="Excellent"/>
  </r>
  <r>
    <s v="RG-259"/>
    <d v="2024-02-20T00:00:00"/>
    <s v="Pooja Desai"/>
    <x v="0"/>
    <x v="0"/>
    <s v="2BHK"/>
    <n v="4950000"/>
    <n v="4950000"/>
    <x v="1"/>
    <d v="2025-10-30T00:00:00"/>
    <n v="8500000"/>
    <s v="Online inquiry"/>
    <n v="0"/>
    <s v="Sneha Kapoor"/>
    <n v="2021"/>
    <s v="Excellent"/>
  </r>
  <r>
    <s v="RG-260"/>
    <d v="2024-04-15T00:00:00"/>
    <s v="Meena Shah"/>
    <x v="2"/>
    <x v="2"/>
    <s v="2BHK"/>
    <n v="5100000"/>
    <n v="5100000"/>
    <x v="1"/>
    <d v="2026-06-15T00:00:00"/>
    <n v="7500000"/>
    <s v="N/A"/>
    <n v="0"/>
    <s v="Priya Nair"/>
    <n v="2023"/>
    <s v="Excellent"/>
  </r>
  <r>
    <s v="RG-261"/>
    <d v="2024-10-13T00:00:00"/>
    <s v="Pooja Desai"/>
    <x v="0"/>
    <x v="0"/>
    <s v="4BHK"/>
    <n v="12900000"/>
    <n v="0"/>
    <x v="0"/>
    <d v="2025-10-16T00:00:00"/>
    <n v="8500000"/>
    <s v="Walk-in customer"/>
    <n v="0"/>
    <s v="Sneha Kapoor"/>
    <n v="2021"/>
    <s v="N/A"/>
  </r>
  <r>
    <s v="RG-262"/>
    <d v="2024-06-25T00:00:00"/>
    <s v="Meena Shah"/>
    <x v="1"/>
    <x v="1"/>
    <s v="3BHK"/>
    <n v="6850000"/>
    <n v="6850000"/>
    <x v="1"/>
    <d v="2026-03-19T00:00:00"/>
    <n v="7500000"/>
    <s v="Builder referral"/>
    <n v="0"/>
    <s v="Raj Malhotra"/>
    <n v="2022"/>
    <s v="Excellent"/>
  </r>
  <r>
    <s v="RG-263"/>
    <d v="2024-10-18T00:00:00"/>
    <s v="Pooja Desai"/>
    <x v="0"/>
    <x v="0"/>
    <s v="4BHK"/>
    <n v="13450000"/>
    <n v="13450000"/>
    <x v="1"/>
    <d v="2025-05-03T00:00:00"/>
    <n v="8500000"/>
    <s v="NRI buyer"/>
    <n v="0"/>
    <s v="Sneha Kapoor"/>
    <n v="2021"/>
    <s v="Excellent"/>
  </r>
  <r>
    <s v="RG-264"/>
    <d v="2024-05-01T00:00:00"/>
    <s v="Amit Verma"/>
    <x v="2"/>
    <x v="2"/>
    <s v="3BHK"/>
    <n v="7450000"/>
    <n v="1400000"/>
    <x v="2"/>
    <d v="2024-12-29T00:00:00"/>
    <n v="9000000"/>
    <s v="N/A"/>
    <n v="698"/>
    <s v="Priya Nair"/>
    <n v="2023"/>
    <s v="Below Target"/>
  </r>
  <r>
    <s v="RG-265"/>
    <d v="2024-02-29T00:00:00"/>
    <s v="Ravi Patel"/>
    <x v="0"/>
    <x v="0"/>
    <s v="2BHK"/>
    <n v="4950000"/>
    <n v="4950000"/>
    <x v="1"/>
    <d v="2026-07-14T00:00:00"/>
    <n v="8000000"/>
    <s v="N/A"/>
    <n v="0"/>
    <s v="Sneha Kapoor"/>
    <n v="2021"/>
    <s v="Excellent"/>
  </r>
  <r>
    <s v="RG-266"/>
    <d v="2024-10-03T00:00:00"/>
    <s v="Karan Mehta"/>
    <x v="2"/>
    <x v="2"/>
    <s v="2BHK"/>
    <n v="5000000"/>
    <n v="5000000"/>
    <x v="1"/>
    <d v="2025-07-24T00:00:00"/>
    <n v="7000000"/>
    <s v="Repeat client"/>
    <n v="0"/>
    <s v="Priya Nair"/>
    <n v="2023"/>
    <s v="Excellent"/>
  </r>
  <r>
    <s v="RG-267"/>
    <d v="2024-11-26T00:00:00"/>
    <s v="Meena Shah"/>
    <x v="0"/>
    <x v="0"/>
    <s v="2BHK"/>
    <n v="4400000"/>
    <n v="4400000"/>
    <x v="2"/>
    <d v="2027-01-31T00:00:00"/>
    <n v="7500000"/>
    <s v="Walk-in customer"/>
    <n v="489"/>
    <s v="Sneha Kapoor"/>
    <n v="2021"/>
    <s v="Excellent"/>
  </r>
  <r>
    <s v="RG-268"/>
    <d v="2024-10-17T00:00:00"/>
    <s v="Karan Mehta"/>
    <x v="0"/>
    <x v="0"/>
    <s v="4BHK"/>
    <n v="13650000"/>
    <n v="2650000"/>
    <x v="2"/>
    <d v="2026-08-30T00:00:00"/>
    <n v="7000000"/>
    <s v="Referred by agent"/>
    <n v="529"/>
    <s v="Sneha Kapoor"/>
    <n v="2021"/>
    <s v="Below Target"/>
  </r>
  <r>
    <s v="RG-269"/>
    <d v="2024-09-15T00:00:00"/>
    <s v="Meena Shah"/>
    <x v="1"/>
    <x v="1"/>
    <s v="1BHK"/>
    <n v="3100000"/>
    <n v="350000"/>
    <x v="2"/>
    <d v="2027-01-21T00:00:00"/>
    <n v="7500000"/>
    <s v="Walk-in customer"/>
    <n v="561"/>
    <s v="Raj Malhotra"/>
    <n v="2022"/>
    <s v="Below Target"/>
  </r>
  <r>
    <s v="RG-270"/>
    <d v="2024-10-31T00:00:00"/>
    <s v="Ravi Patel"/>
    <x v="0"/>
    <x v="0"/>
    <s v="2BHK"/>
    <n v="4250000"/>
    <n v="750000"/>
    <x v="2"/>
    <d v="2026-12-28T00:00:00"/>
    <n v="8000000"/>
    <s v="Referred by agent"/>
    <n v="515"/>
    <s v="Sneha Kapoor"/>
    <n v="2021"/>
    <s v="Below Target"/>
  </r>
  <r>
    <s v="RG-271"/>
    <d v="2024-07-30T00:00:00"/>
    <s v="Amit Verma"/>
    <x v="0"/>
    <x v="0"/>
    <s v="3BHK"/>
    <n v="7100000"/>
    <n v="7100000"/>
    <x v="1"/>
    <d v="2026-08-12T00:00:00"/>
    <n v="9000000"/>
    <s v="Walk-in customer"/>
    <n v="0"/>
    <s v="Sneha Kapoor"/>
    <n v="2021"/>
    <s v="Excellent"/>
  </r>
  <r>
    <s v="RG-272"/>
    <d v="2024-09-18T00:00:00"/>
    <s v="Pooja Desai"/>
    <x v="2"/>
    <x v="2"/>
    <s v="2BHK"/>
    <n v="5400000"/>
    <n v="5400000"/>
    <x v="1"/>
    <d v="2026-01-01T00:00:00"/>
    <n v="8500000"/>
    <s v="N/A"/>
    <n v="0"/>
    <s v="Priya Nair"/>
    <n v="2023"/>
    <s v="Excellent"/>
  </r>
  <r>
    <s v="RG-273"/>
    <d v="2024-10-11T00:00:00"/>
    <s v="Amit Verma"/>
    <x v="1"/>
    <x v="1"/>
    <s v="3BHK"/>
    <n v="7450000"/>
    <n v="2650000"/>
    <x v="2"/>
    <d v="2027-01-05T00:00:00"/>
    <n v="9000000"/>
    <s v="N/A"/>
    <n v="535"/>
    <s v="Raj Malhotra"/>
    <n v="2022"/>
    <s v="Below Target"/>
  </r>
  <r>
    <s v="RG-274"/>
    <d v="2024-12-30T00:00:00"/>
    <s v="Pooja Desai"/>
    <x v="0"/>
    <x v="0"/>
    <s v="2BHK"/>
    <n v="5300000"/>
    <n v="5300000"/>
    <x v="1"/>
    <d v="2025-09-03T00:00:00"/>
    <n v="8500000"/>
    <s v="Walk-in customer"/>
    <n v="0"/>
    <s v="Sneha Kapoor"/>
    <n v="2021"/>
    <s v="Excellent"/>
  </r>
  <r>
    <s v="RG-275"/>
    <d v="2024-08-13T00:00:00"/>
    <s v="Amit Verma"/>
    <x v="2"/>
    <x v="2"/>
    <s v="3BHK"/>
    <n v="7150000"/>
    <n v="2050000"/>
    <x v="2"/>
    <d v="2026-05-08T00:00:00"/>
    <n v="9000000"/>
    <s v="Online inquiry"/>
    <n v="594"/>
    <s v="Priya Nair"/>
    <n v="2023"/>
    <s v="Below Target"/>
  </r>
  <r>
    <s v="RG-276"/>
    <d v="2024-01-29T00:00:00"/>
    <s v="Pooja Desai"/>
    <x v="1"/>
    <x v="1"/>
    <s v="2BHK"/>
    <n v="5200000"/>
    <n v="5200000"/>
    <x v="1"/>
    <d v="2026-02-19T00:00:00"/>
    <n v="8500000"/>
    <s v="N/A"/>
    <n v="0"/>
    <s v="Raj Malhotra"/>
    <n v="2022"/>
    <s v="Excellent"/>
  </r>
  <r>
    <s v="RG-277"/>
    <d v="2024-01-04T00:00:00"/>
    <s v="Meena Shah"/>
    <x v="1"/>
    <x v="1"/>
    <s v="2BHK"/>
    <n v="4350000"/>
    <n v="4350000"/>
    <x v="1"/>
    <d v="2025-06-11T00:00:00"/>
    <n v="7500000"/>
    <s v="NRI buyer"/>
    <n v="0"/>
    <s v="Raj Malhotra"/>
    <n v="2022"/>
    <s v="Excellent"/>
  </r>
  <r>
    <s v="RG-278"/>
    <d v="2024-09-16T00:00:00"/>
    <s v="Amit Verma"/>
    <x v="1"/>
    <x v="1"/>
    <s v="2BHK"/>
    <n v="5450000"/>
    <n v="5450000"/>
    <x v="1"/>
    <d v="2026-10-03T00:00:00"/>
    <n v="9000000"/>
    <s v="Walk-in customer"/>
    <n v="0"/>
    <s v="Raj Malhotra"/>
    <n v="2022"/>
    <s v="Excellent"/>
  </r>
  <r>
    <s v="RG-279"/>
    <d v="2024-06-29T00:00:00"/>
    <s v="Pooja Desai"/>
    <x v="1"/>
    <x v="1"/>
    <s v="3BHK"/>
    <n v="9000000"/>
    <n v="9000000"/>
    <x v="1"/>
    <d v="2026-11-14T00:00:00"/>
    <n v="8500000"/>
    <s v="Walk-in customer"/>
    <n v="0"/>
    <s v="Raj Malhotra"/>
    <n v="2022"/>
    <s v="Excellent"/>
  </r>
  <r>
    <s v="RG-280"/>
    <d v="2024-07-20T00:00:00"/>
    <s v="Karan Mehta"/>
    <x v="0"/>
    <x v="0"/>
    <s v="4BHK"/>
    <n v="9550000"/>
    <n v="9550000"/>
    <x v="2"/>
    <d v="2025-11-17T00:00:00"/>
    <n v="7000000"/>
    <s v="N/A"/>
    <n v="618"/>
    <s v="Sneha Kapoor"/>
    <n v="2021"/>
    <s v="Excellent"/>
  </r>
  <r>
    <s v="RG-281"/>
    <d v="2024-06-22T00:00:00"/>
    <s v="Amit Verma"/>
    <x v="0"/>
    <x v="0"/>
    <s v="3BHK"/>
    <n v="8200000"/>
    <n v="8200000"/>
    <x v="1"/>
    <d v="2025-05-13T00:00:00"/>
    <n v="9000000"/>
    <s v="Referred by agent"/>
    <n v="0"/>
    <s v="Sneha Kapoor"/>
    <n v="2021"/>
    <s v="Excellent"/>
  </r>
  <r>
    <s v="RG-282"/>
    <d v="2024-12-19T00:00:00"/>
    <s v="Meena Shah"/>
    <x v="1"/>
    <x v="1"/>
    <s v="4BHK"/>
    <n v="10000000"/>
    <n v="0"/>
    <x v="0"/>
    <d v="2025-11-05T00:00:00"/>
    <n v="7500000"/>
    <s v="N/A"/>
    <n v="0"/>
    <s v="Raj Malhotra"/>
    <n v="2022"/>
    <s v="N/A"/>
  </r>
  <r>
    <s v="RG-283"/>
    <d v="2024-03-17T00:00:00"/>
    <s v="Pooja Desai"/>
    <x v="1"/>
    <x v="1"/>
    <s v="2BHK"/>
    <n v="5150000"/>
    <n v="1100000"/>
    <x v="2"/>
    <d v="2025-08-08T00:00:00"/>
    <n v="8500000"/>
    <s v="Online inquiry"/>
    <n v="743"/>
    <s v="Raj Malhotra"/>
    <n v="2022"/>
    <s v="Below Target"/>
  </r>
  <r>
    <s v="RG-284"/>
    <d v="2024-07-12T00:00:00"/>
    <s v="Karan Mehta"/>
    <x v="0"/>
    <x v="0"/>
    <s v="3BHK"/>
    <n v="7200000"/>
    <n v="7200000"/>
    <x v="1"/>
    <d v="2026-06-03T00:00:00"/>
    <n v="7000000"/>
    <s v="N/A"/>
    <n v="0"/>
    <s v="Sneha Kapoor"/>
    <n v="2021"/>
    <s v="Excellent"/>
  </r>
  <r>
    <s v="RG-285"/>
    <d v="2024-07-07T00:00:00"/>
    <s v="Amit Verma"/>
    <x v="1"/>
    <x v="1"/>
    <s v="3BHK"/>
    <n v="7800000"/>
    <n v="0"/>
    <x v="0"/>
    <d v="2026-12-08T00:00:00"/>
    <n v="9000000"/>
    <s v="Referred by agent"/>
    <n v="0"/>
    <s v="Raj Malhotra"/>
    <n v="2022"/>
    <s v="N/A"/>
  </r>
  <r>
    <s v="RG-286"/>
    <d v="2024-02-17T00:00:00"/>
    <s v="Pooja Desai"/>
    <x v="0"/>
    <x v="0"/>
    <s v="2BHK"/>
    <n v="4650000"/>
    <n v="4650000"/>
    <x v="1"/>
    <d v="2025-03-22T00:00:00"/>
    <n v="8500000"/>
    <s v="Repeat client"/>
    <n v="0"/>
    <s v="Sneha Kapoor"/>
    <n v="2021"/>
    <s v="Excellent"/>
  </r>
  <r>
    <s v="RG-287"/>
    <d v="2024-11-23T00:00:00"/>
    <s v="Karan Mehta"/>
    <x v="0"/>
    <x v="0"/>
    <s v="4BHK"/>
    <n v="13700000"/>
    <n v="3550000"/>
    <x v="2"/>
    <d v="2027-02-28T00:00:00"/>
    <n v="7000000"/>
    <s v="N/A"/>
    <n v="492"/>
    <s v="Sneha Kapoor"/>
    <n v="2021"/>
    <s v="Below Target"/>
  </r>
  <r>
    <s v="RG-288"/>
    <d v="2024-08-09T00:00:00"/>
    <s v="Karan Mehta"/>
    <x v="0"/>
    <x v="0"/>
    <s v="4BHK"/>
    <n v="10550000"/>
    <n v="1550000"/>
    <x v="2"/>
    <d v="2025-07-23T00:00:00"/>
    <n v="7000000"/>
    <s v="Walk-in customer"/>
    <n v="598"/>
    <s v="Sneha Kapoor"/>
    <n v="2021"/>
    <s v="Below Target"/>
  </r>
  <r>
    <s v="RG-289"/>
    <d v="2024-09-05T00:00:00"/>
    <s v="Meena Shah"/>
    <x v="1"/>
    <x v="1"/>
    <s v="3BHK"/>
    <n v="8600000"/>
    <n v="0"/>
    <x v="0"/>
    <d v="2026-07-23T00:00:00"/>
    <n v="7500000"/>
    <s v="N/A"/>
    <n v="0"/>
    <s v="Raj Malhotra"/>
    <n v="2022"/>
    <s v="N/A"/>
  </r>
  <r>
    <s v="RG-290"/>
    <d v="2024-06-15T00:00:00"/>
    <s v="Karan Mehta"/>
    <x v="0"/>
    <x v="0"/>
    <s v="2BHK"/>
    <n v="4350000"/>
    <n v="500000"/>
    <x v="2"/>
    <d v="2025-03-05T00:00:00"/>
    <n v="7000000"/>
    <s v="Builder referral"/>
    <n v="653"/>
    <s v="Sneha Kapoor"/>
    <n v="2021"/>
    <s v="Below Target"/>
  </r>
  <r>
    <s v="RG-291"/>
    <d v="2024-12-12T00:00:00"/>
    <s v="Pooja Desai"/>
    <x v="2"/>
    <x v="2"/>
    <s v="2BHK"/>
    <n v="4200000"/>
    <n v="450000"/>
    <x v="2"/>
    <d v="2026-12-11T00:00:00"/>
    <n v="8500000"/>
    <s v="NRI buyer"/>
    <n v="473"/>
    <s v="Priya Nair"/>
    <n v="2023"/>
    <s v="Below Target"/>
  </r>
  <r>
    <s v="RG-292"/>
    <d v="2024-02-21T00:00:00"/>
    <s v="Pooja Desai"/>
    <x v="1"/>
    <x v="1"/>
    <s v="1BHK"/>
    <n v="3250000"/>
    <n v="3250000"/>
    <x v="1"/>
    <d v="2025-10-12T00:00:00"/>
    <n v="8500000"/>
    <s v="Walk-in customer"/>
    <n v="0"/>
    <s v="Raj Malhotra"/>
    <n v="2022"/>
    <s v="Excellent"/>
  </r>
  <r>
    <s v="RG-293"/>
    <d v="2024-06-10T00:00:00"/>
    <s v="Ravi Patel"/>
    <x v="2"/>
    <x v="2"/>
    <s v="2BHK"/>
    <n v="5600000"/>
    <n v="0"/>
    <x v="0"/>
    <d v="2026-01-18T00:00:00"/>
    <n v="8000000"/>
    <s v="NRI buyer"/>
    <n v="0"/>
    <s v="Priya Nair"/>
    <n v="2023"/>
    <s v="N/A"/>
  </r>
  <r>
    <s v="RG-294"/>
    <d v="2024-03-15T00:00:00"/>
    <s v="Amit Verma"/>
    <x v="2"/>
    <x v="2"/>
    <s v="2BHK"/>
    <n v="5050000"/>
    <n v="5050000"/>
    <x v="1"/>
    <d v="2026-04-25T00:00:00"/>
    <n v="9000000"/>
    <s v="Builder referral"/>
    <n v="0"/>
    <s v="Priya Nair"/>
    <n v="2023"/>
    <s v="Excellent"/>
  </r>
  <r>
    <s v="RG-295"/>
    <d v="2024-01-15T00:00:00"/>
    <s v="Pooja Desai"/>
    <x v="1"/>
    <x v="1"/>
    <s v="3BHK"/>
    <n v="7200000"/>
    <n v="2700000"/>
    <x v="2"/>
    <d v="2026-04-11T00:00:00"/>
    <n v="8500000"/>
    <s v="N/A"/>
    <n v="805"/>
    <s v="Raj Malhotra"/>
    <n v="2022"/>
    <s v="Below Target"/>
  </r>
  <r>
    <s v="RG-296"/>
    <d v="2024-10-15T00:00:00"/>
    <s v="Pooja Desai"/>
    <x v="1"/>
    <x v="1"/>
    <s v="4BHK"/>
    <n v="13100000"/>
    <n v="13100000"/>
    <x v="1"/>
    <d v="2025-04-23T00:00:00"/>
    <n v="8500000"/>
    <s v="NRI buyer"/>
    <n v="0"/>
    <s v="Raj Malhotra"/>
    <n v="2022"/>
    <s v="Excellent"/>
  </r>
  <r>
    <s v="RG-297"/>
    <d v="2024-02-17T00:00:00"/>
    <s v="Pooja Desai"/>
    <x v="1"/>
    <x v="1"/>
    <s v="3BHK"/>
    <n v="7600000"/>
    <n v="7600000"/>
    <x v="1"/>
    <d v="2025-11-28T00:00:00"/>
    <n v="8500000"/>
    <s v="N/A"/>
    <n v="0"/>
    <s v="Raj Malhotra"/>
    <n v="2022"/>
    <s v="Excellent"/>
  </r>
  <r>
    <s v="RG-298"/>
    <d v="2024-05-01T00:00:00"/>
    <s v="Amit Verma"/>
    <x v="1"/>
    <x v="1"/>
    <s v="4BHK"/>
    <n v="12800000"/>
    <n v="0"/>
    <x v="0"/>
    <d v="2025-09-27T00:00:00"/>
    <n v="9000000"/>
    <s v="Repeat client"/>
    <n v="0"/>
    <s v="Raj Malhotra"/>
    <n v="2022"/>
    <s v="N/A"/>
  </r>
  <r>
    <s v="RG-299"/>
    <d v="2024-12-10T00:00:00"/>
    <s v="Amit Verma"/>
    <x v="1"/>
    <x v="1"/>
    <s v="2BHK"/>
    <n v="5700000"/>
    <n v="5700000"/>
    <x v="1"/>
    <d v="2026-01-17T00:00:00"/>
    <n v="9000000"/>
    <s v="NRI buyer"/>
    <n v="0"/>
    <s v="Raj Malhotra"/>
    <n v="2022"/>
    <s v="Excellent"/>
  </r>
  <r>
    <s v="RG-300"/>
    <d v="2024-05-13T00:00:00"/>
    <s v="Pooja Desai"/>
    <x v="1"/>
    <x v="1"/>
    <s v="3BHK"/>
    <n v="8550000"/>
    <n v="8550000"/>
    <x v="1"/>
    <d v="2025-03-14T00:00:00"/>
    <n v="8500000"/>
    <s v="Walk-in customer"/>
    <n v="0"/>
    <s v="Raj Malhotra"/>
    <n v="2022"/>
    <s v="Excellent"/>
  </r>
  <r>
    <s v="RG-301"/>
    <d v="2024-03-02T00:00:00"/>
    <s v="Ravi Patel"/>
    <x v="2"/>
    <x v="2"/>
    <s v="1BHK"/>
    <n v="2650000"/>
    <n v="1000000"/>
    <x v="2"/>
    <d v="2026-02-15T00:00:00"/>
    <n v="8000000"/>
    <s v="N/A"/>
    <n v="758"/>
    <s v="Priya Nair"/>
    <n v="2023"/>
    <s v="Below Target"/>
  </r>
  <r>
    <s v="RG-302"/>
    <d v="2024-10-08T00:00:00"/>
    <s v="Meena Shah"/>
    <x v="1"/>
    <x v="1"/>
    <s v="3BHK"/>
    <n v="8550000"/>
    <n v="8550000"/>
    <x v="1"/>
    <d v="2025-05-05T00:00:00"/>
    <n v="7500000"/>
    <s v="Online inquiry"/>
    <n v="0"/>
    <s v="Raj Malhotra"/>
    <n v="2022"/>
    <s v="Excellent"/>
  </r>
  <r>
    <s v="RG-303"/>
    <d v="2024-02-08T00:00:00"/>
    <s v="Pooja Desai"/>
    <x v="1"/>
    <x v="1"/>
    <s v="2BHK"/>
    <n v="5300000"/>
    <n v="0"/>
    <x v="0"/>
    <d v="2025-09-17T00:00:00"/>
    <n v="8500000"/>
    <s v="NRI buyer"/>
    <n v="0"/>
    <s v="Raj Malhotra"/>
    <n v="2022"/>
    <s v="N/A"/>
  </r>
  <r>
    <s v="RG-304"/>
    <d v="2024-12-27T00:00:00"/>
    <s v="Pooja Desai"/>
    <x v="0"/>
    <x v="0"/>
    <s v="2BHK"/>
    <n v="4100000"/>
    <n v="4100000"/>
    <x v="1"/>
    <d v="2026-11-21T00:00:00"/>
    <n v="8500000"/>
    <s v="Repeat client"/>
    <n v="0"/>
    <s v="Sneha Kapoor"/>
    <n v="2021"/>
    <s v="Excellent"/>
  </r>
  <r>
    <s v="RG-305"/>
    <d v="2024-11-02T00:00:00"/>
    <s v="Karan Mehta"/>
    <x v="0"/>
    <x v="0"/>
    <s v="4BHK"/>
    <n v="10100000"/>
    <n v="10100000"/>
    <x v="1"/>
    <d v="2026-06-29T00:00:00"/>
    <n v="7000000"/>
    <s v="Repeat client"/>
    <n v="0"/>
    <s v="Sneha Kapoor"/>
    <n v="2021"/>
    <s v="Excellent"/>
  </r>
  <r>
    <s v="RG-306"/>
    <d v="2024-06-22T00:00:00"/>
    <s v="Karan Mehta"/>
    <x v="1"/>
    <x v="1"/>
    <s v="3BHK"/>
    <n v="6650000"/>
    <n v="2550000"/>
    <x v="2"/>
    <d v="2025-06-05T00:00:00"/>
    <n v="7000000"/>
    <s v="N/A"/>
    <n v="646"/>
    <s v="Raj Malhotra"/>
    <n v="2022"/>
    <s v="Below Target"/>
  </r>
  <r>
    <s v="RG-307"/>
    <d v="2024-10-30T00:00:00"/>
    <s v="Karan Mehta"/>
    <x v="0"/>
    <x v="0"/>
    <s v="3BHK"/>
    <n v="8450000"/>
    <n v="0"/>
    <x v="0"/>
    <d v="2025-11-28T00:00:00"/>
    <n v="7000000"/>
    <s v="N/A"/>
    <n v="0"/>
    <s v="Sneha Kapoor"/>
    <n v="2021"/>
    <s v="N/A"/>
  </r>
  <r>
    <s v="RG-308"/>
    <d v="2024-10-17T00:00:00"/>
    <s v="Ravi Patel"/>
    <x v="1"/>
    <x v="1"/>
    <s v="4BHK"/>
    <n v="11350000"/>
    <n v="0"/>
    <x v="0"/>
    <d v="2026-11-15T00:00:00"/>
    <n v="8000000"/>
    <s v="NRI buyer"/>
    <n v="0"/>
    <s v="Raj Malhotra"/>
    <n v="2022"/>
    <s v="N/A"/>
  </r>
  <r>
    <s v="RG-309"/>
    <d v="2024-10-06T00:00:00"/>
    <s v="Amit Verma"/>
    <x v="0"/>
    <x v="0"/>
    <s v="4BHK"/>
    <n v="13400000"/>
    <n v="0"/>
    <x v="0"/>
    <d v="2026-08-07T00:00:00"/>
    <n v="9000000"/>
    <s v="Walk-in customer"/>
    <n v="0"/>
    <s v="Sneha Kapoor"/>
    <n v="2021"/>
    <s v="N/A"/>
  </r>
  <r>
    <s v="RG-310"/>
    <d v="2024-11-17T00:00:00"/>
    <s v="Pooja Desai"/>
    <x v="0"/>
    <x v="0"/>
    <s v="3BHK"/>
    <n v="6900000"/>
    <n v="1750000"/>
    <x v="2"/>
    <d v="2026-02-24T00:00:00"/>
    <n v="8500000"/>
    <s v="Repeat client"/>
    <n v="498"/>
    <s v="Sneha Kapoor"/>
    <n v="2021"/>
    <s v="Below Target"/>
  </r>
  <r>
    <s v="RG-311"/>
    <d v="2024-05-20T00:00:00"/>
    <s v="Karan Mehta"/>
    <x v="1"/>
    <x v="1"/>
    <s v="2BHK"/>
    <n v="5250000"/>
    <n v="1000000"/>
    <x v="2"/>
    <d v="2026-04-17T00:00:00"/>
    <n v="7000000"/>
    <s v="N/A"/>
    <n v="679"/>
    <s v="Raj Malhotra"/>
    <n v="2022"/>
    <s v="Below Target"/>
  </r>
  <r>
    <s v="RG-312"/>
    <d v="2024-06-28T00:00:00"/>
    <s v="Amit Verma"/>
    <x v="0"/>
    <x v="0"/>
    <s v="2BHK"/>
    <n v="4050000"/>
    <n v="0"/>
    <x v="0"/>
    <d v="2025-07-10T00:00:00"/>
    <n v="9000000"/>
    <s v="N/A"/>
    <n v="0"/>
    <s v="Sneha Kapoor"/>
    <n v="2021"/>
    <s v="N/A"/>
  </r>
  <r>
    <s v="RG-313"/>
    <d v="2024-12-24T00:00:00"/>
    <s v="Amit Verma"/>
    <x v="0"/>
    <x v="0"/>
    <s v="2BHK"/>
    <n v="4100000"/>
    <n v="4100000"/>
    <x v="1"/>
    <d v="2026-04-29T00:00:00"/>
    <n v="9000000"/>
    <s v="N/A"/>
    <n v="0"/>
    <s v="Sneha Kapoor"/>
    <n v="2021"/>
    <s v="Excellent"/>
  </r>
  <r>
    <s v="RG-314"/>
    <d v="2024-04-23T00:00:00"/>
    <s v="Pooja Desai"/>
    <x v="1"/>
    <x v="1"/>
    <s v="3BHK"/>
    <n v="8950000"/>
    <n v="8950000"/>
    <x v="1"/>
    <d v="2026-02-16T00:00:00"/>
    <n v="8500000"/>
    <s v="N/A"/>
    <n v="0"/>
    <s v="Raj Malhotra"/>
    <n v="2022"/>
    <s v="Excellent"/>
  </r>
  <r>
    <s v="RG-315"/>
    <d v="2024-07-30T00:00:00"/>
    <s v="Pooja Desai"/>
    <x v="1"/>
    <x v="1"/>
    <s v="3BHK"/>
    <n v="8050000"/>
    <n v="8050000"/>
    <x v="1"/>
    <d v="2026-05-31T00:00:00"/>
    <n v="8500000"/>
    <s v="Online inquiry"/>
    <n v="0"/>
    <s v="Raj Malhotra"/>
    <n v="2022"/>
    <s v="Excellent"/>
  </r>
  <r>
    <s v="RG-316"/>
    <d v="2024-09-05T00:00:00"/>
    <s v="Meena Shah"/>
    <x v="0"/>
    <x v="0"/>
    <s v="2BHK"/>
    <n v="4150000"/>
    <n v="4150000"/>
    <x v="1"/>
    <d v="2025-06-15T00:00:00"/>
    <n v="7500000"/>
    <s v="N/A"/>
    <n v="0"/>
    <s v="Sneha Kapoor"/>
    <n v="2021"/>
    <s v="Excellent"/>
  </r>
  <r>
    <s v="RG-317"/>
    <d v="2024-08-28T00:00:00"/>
    <s v="Amit Verma"/>
    <x v="1"/>
    <x v="1"/>
    <s v="2BHK"/>
    <n v="4850000"/>
    <n v="4850000"/>
    <x v="2"/>
    <d v="2026-09-23T00:00:00"/>
    <n v="9000000"/>
    <s v="Online inquiry"/>
    <n v="579"/>
    <s v="Raj Malhotra"/>
    <n v="2022"/>
    <s v="Excellent"/>
  </r>
  <r>
    <s v="RG-318"/>
    <d v="2024-03-19T00:00:00"/>
    <s v="Pooja Desai"/>
    <x v="2"/>
    <x v="2"/>
    <s v="2BHK"/>
    <n v="4850000"/>
    <n v="0"/>
    <x v="0"/>
    <d v="2026-03-31T00:00:00"/>
    <n v="8500000"/>
    <s v="N/A"/>
    <n v="0"/>
    <s v="Priya Nair"/>
    <n v="2023"/>
    <s v="N/A"/>
  </r>
  <r>
    <s v="RG-319"/>
    <d v="2024-03-02T00:00:00"/>
    <s v="Ravi Patel"/>
    <x v="2"/>
    <x v="2"/>
    <s v="1BHK"/>
    <n v="2650000"/>
    <n v="1000000"/>
    <x v="2"/>
    <d v="2026-02-15T00:00:00"/>
    <n v="8000000"/>
    <s v="N/A"/>
    <n v="758"/>
    <s v="Priya Nair"/>
    <n v="2023"/>
    <s v="Below Target"/>
  </r>
  <r>
    <s v="RG-320"/>
    <d v="2024-09-08T00:00:00"/>
    <s v="Ravi Patel"/>
    <x v="0"/>
    <x v="0"/>
    <s v="2BHK"/>
    <n v="4300000"/>
    <n v="1650000"/>
    <x v="2"/>
    <d v="2025-06-02T00:00:00"/>
    <n v="8000000"/>
    <s v="Online inquiry"/>
    <n v="568"/>
    <s v="Sneha Kapoor"/>
    <n v="2021"/>
    <s v="Below Target"/>
  </r>
  <r>
    <s v="RG-321"/>
    <d v="2024-05-26T00:00:00"/>
    <s v="Karan Mehta"/>
    <x v="0"/>
    <x v="0"/>
    <s v="2BHK"/>
    <n v="4300000"/>
    <n v="4300000"/>
    <x v="1"/>
    <d v="2025-12-01T00:00:00"/>
    <n v="7000000"/>
    <s v="N/A"/>
    <n v="0"/>
    <s v="Sneha Kapoor"/>
    <n v="2021"/>
    <s v="Excellent"/>
  </r>
  <r>
    <s v="RG-322"/>
    <d v="2024-10-12T00:00:00"/>
    <s v="Karan Mehta"/>
    <x v="0"/>
    <x v="0"/>
    <s v="1BHK"/>
    <n v="2600000"/>
    <n v="2600000"/>
    <x v="1"/>
    <d v="2026-10-29T00:00:00"/>
    <n v="7000000"/>
    <s v="NRI buyer"/>
    <n v="0"/>
    <s v="Sneha Kapoor"/>
    <n v="2021"/>
    <s v="Excellent"/>
  </r>
  <r>
    <s v="RG-323"/>
    <d v="2024-06-20T00:00:00"/>
    <s v="Amit Verma"/>
    <x v="1"/>
    <x v="1"/>
    <s v="2BHK"/>
    <n v="5800000"/>
    <n v="1400000"/>
    <x v="2"/>
    <d v="2025-07-02T00:00:00"/>
    <n v="9000000"/>
    <s v="NRI buyer"/>
    <n v="648"/>
    <s v="Raj Malhotra"/>
    <n v="2022"/>
    <s v="Below Target"/>
  </r>
  <r>
    <s v="RG-324"/>
    <d v="2024-08-19T00:00:00"/>
    <s v="Amit Verma"/>
    <x v="0"/>
    <x v="0"/>
    <s v="2BHK"/>
    <n v="5650000"/>
    <n v="750000"/>
    <x v="2"/>
    <d v="2025-06-03T00:00:00"/>
    <n v="9000000"/>
    <s v="Walk-in customer"/>
    <n v="588"/>
    <s v="Sneha Kapoor"/>
    <n v="2021"/>
    <s v="Below Target"/>
  </r>
  <r>
    <s v="RG-325"/>
    <d v="2024-09-04T00:00:00"/>
    <s v="Ravi Patel"/>
    <x v="1"/>
    <x v="1"/>
    <s v="3BHK"/>
    <n v="7750000"/>
    <n v="0"/>
    <x v="0"/>
    <d v="2025-12-30T00:00:00"/>
    <n v="8000000"/>
    <s v="Referred by agent"/>
    <n v="0"/>
    <s v="Raj Malhotra"/>
    <n v="2022"/>
    <s v="N/A"/>
  </r>
  <r>
    <s v="RG-326"/>
    <d v="2024-05-30T00:00:00"/>
    <s v="Pooja Desai"/>
    <x v="0"/>
    <x v="0"/>
    <s v="3BHK"/>
    <n v="7600000"/>
    <n v="2500000"/>
    <x v="2"/>
    <d v="2026-04-29T00:00:00"/>
    <n v="8500000"/>
    <s v="NRI buyer"/>
    <n v="669"/>
    <s v="Sneha Kapoor"/>
    <n v="2021"/>
    <s v="Below Target"/>
  </r>
  <r>
    <s v="RG-327"/>
    <d v="2024-05-19T00:00:00"/>
    <s v="Amit Verma"/>
    <x v="0"/>
    <x v="0"/>
    <s v="2BHK"/>
    <n v="4300000"/>
    <n v="4300000"/>
    <x v="1"/>
    <d v="2025-12-12T00:00:00"/>
    <n v="9000000"/>
    <s v="Walk-in customer"/>
    <n v="0"/>
    <s v="Sneha Kapoor"/>
    <n v="2021"/>
    <s v="Excellent"/>
  </r>
  <r>
    <s v="RG-328"/>
    <d v="2024-11-23T00:00:00"/>
    <s v="Pooja Desai"/>
    <x v="0"/>
    <x v="0"/>
    <s v="2BHK"/>
    <n v="5250000"/>
    <n v="1150000"/>
    <x v="2"/>
    <d v="2025-12-27T00:00:00"/>
    <n v="8500000"/>
    <s v="Online inquiry"/>
    <n v="492"/>
    <s v="Sneha Kapoor"/>
    <n v="2021"/>
    <s v="Below Target"/>
  </r>
  <r>
    <s v="RG-329"/>
    <d v="2024-06-13T00:00:00"/>
    <s v="Ravi Patel"/>
    <x v="1"/>
    <x v="1"/>
    <s v="2BHK"/>
    <n v="4950000"/>
    <n v="1550000"/>
    <x v="2"/>
    <d v="2025-05-29T00:00:00"/>
    <n v="8000000"/>
    <s v="N/A"/>
    <n v="655"/>
    <s v="Raj Malhotra"/>
    <n v="2022"/>
    <s v="Below Target"/>
  </r>
  <r>
    <s v="RG-330"/>
    <d v="2024-10-02T00:00:00"/>
    <s v="Meena Shah"/>
    <x v="2"/>
    <x v="2"/>
    <s v="4BHK"/>
    <n v="10200000"/>
    <n v="2400000"/>
    <x v="2"/>
    <d v="2027-03-21T00:00:00"/>
    <n v="7500000"/>
    <s v="Repeat client"/>
    <n v="544"/>
    <s v="Priya Nair"/>
    <n v="2023"/>
    <s v="Below Target"/>
  </r>
  <r>
    <s v="RG-331"/>
    <d v="2024-03-16T00:00:00"/>
    <s v="Meena Shah"/>
    <x v="0"/>
    <x v="0"/>
    <s v="2BHK"/>
    <n v="4050000"/>
    <n v="800000"/>
    <x v="2"/>
    <d v="2025-02-14T00:00:00"/>
    <n v="7500000"/>
    <s v="N/A"/>
    <n v="744"/>
    <s v="Sneha Kapoor"/>
    <n v="2021"/>
    <s v="Below Target"/>
  </r>
  <r>
    <s v="RG-332"/>
    <d v="2024-02-11T00:00:00"/>
    <s v="Amit Verma"/>
    <x v="1"/>
    <x v="1"/>
    <s v="1BHK"/>
    <n v="3400000"/>
    <n v="0"/>
    <x v="0"/>
    <d v="2026-06-05T00:00:00"/>
    <n v="9000000"/>
    <s v="Repeat client"/>
    <n v="0"/>
    <s v="Raj Malhotra"/>
    <n v="2022"/>
    <s v="N/A"/>
  </r>
  <r>
    <s v="RG-333"/>
    <d v="2024-12-04T00:00:00"/>
    <s v="Ravi Patel"/>
    <x v="1"/>
    <x v="1"/>
    <s v="4BHK"/>
    <n v="11500000"/>
    <n v="2250000"/>
    <x v="2"/>
    <d v="2025-11-27T00:00:00"/>
    <n v="8000000"/>
    <s v="Builder referral"/>
    <n v="481"/>
    <s v="Raj Malhotra"/>
    <n v="2022"/>
    <s v="Below Target"/>
  </r>
  <r>
    <s v="RG-334"/>
    <d v="2024-08-28T00:00:00"/>
    <s v="Amit Verma"/>
    <x v="1"/>
    <x v="1"/>
    <s v="3BHK"/>
    <n v="6950000"/>
    <n v="6950000"/>
    <x v="1"/>
    <d v="2026-01-27T00:00:00"/>
    <n v="9000000"/>
    <s v="N/A"/>
    <n v="0"/>
    <s v="Raj Malhotra"/>
    <n v="2022"/>
    <s v="Excellent"/>
  </r>
  <r>
    <s v="RG-335"/>
    <d v="2024-08-24T00:00:00"/>
    <s v="Amit Verma"/>
    <x v="2"/>
    <x v="2"/>
    <s v="3BHK"/>
    <n v="8250000"/>
    <n v="8250000"/>
    <x v="1"/>
    <d v="2025-09-12T00:00:00"/>
    <n v="9000000"/>
    <s v="Walk-in customer"/>
    <n v="0"/>
    <s v="Priya Nair"/>
    <n v="2023"/>
    <s v="Excellent"/>
  </r>
  <r>
    <s v="RG-336"/>
    <d v="2024-03-30T00:00:00"/>
    <s v="Ravi Patel"/>
    <x v="1"/>
    <x v="1"/>
    <s v="3BHK"/>
    <n v="8800000"/>
    <n v="8800000"/>
    <x v="1"/>
    <d v="2024-12-31T00:00:00"/>
    <n v="8000000"/>
    <s v="N/A"/>
    <n v="0"/>
    <s v="Raj Malhotra"/>
    <n v="2022"/>
    <s v="Excellent"/>
  </r>
  <r>
    <s v="RG-337"/>
    <d v="2024-08-21T00:00:00"/>
    <s v="Meena Shah"/>
    <x v="0"/>
    <x v="0"/>
    <s v="2BHK"/>
    <n v="5950000"/>
    <n v="1150000"/>
    <x v="2"/>
    <d v="2026-03-26T00:00:00"/>
    <n v="7500000"/>
    <s v="Builder referral"/>
    <n v="586"/>
    <s v="Sneha Kapoor"/>
    <n v="2021"/>
    <s v="Below Target"/>
  </r>
  <r>
    <s v="RG-338"/>
    <d v="2024-11-16T00:00:00"/>
    <s v="Amit Verma"/>
    <x v="2"/>
    <x v="2"/>
    <s v="3BHK"/>
    <n v="7350000"/>
    <n v="7350000"/>
    <x v="1"/>
    <d v="2026-06-01T00:00:00"/>
    <n v="9000000"/>
    <s v="Walk-in customer"/>
    <n v="0"/>
    <s v="Priya Nair"/>
    <n v="2023"/>
    <s v="Excellent"/>
  </r>
  <r>
    <s v="RG-339"/>
    <d v="2024-07-31T00:00:00"/>
    <s v="Meena Shah"/>
    <x v="1"/>
    <x v="1"/>
    <s v="3BHK"/>
    <n v="8600000"/>
    <n v="8600000"/>
    <x v="1"/>
    <d v="2025-07-14T00:00:00"/>
    <n v="7500000"/>
    <s v="Builder referral"/>
    <n v="0"/>
    <s v="Raj Malhotra"/>
    <n v="2022"/>
    <s v="Excellent"/>
  </r>
  <r>
    <s v="RG-340"/>
    <d v="2024-01-02T00:00:00"/>
    <s v="Pooja Desai"/>
    <x v="1"/>
    <x v="1"/>
    <s v="2BHK"/>
    <n v="4900000"/>
    <n v="0"/>
    <x v="0"/>
    <d v="2026-01-20T00:00:00"/>
    <n v="8500000"/>
    <s v="N/A"/>
    <n v="0"/>
    <s v="Raj Malhotra"/>
    <n v="2022"/>
    <s v="N/A"/>
  </r>
  <r>
    <s v="RG-341"/>
    <d v="2024-12-21T00:00:00"/>
    <s v="Pooja Desai"/>
    <x v="1"/>
    <x v="1"/>
    <s v="4BHK"/>
    <n v="9800000"/>
    <n v="1250000"/>
    <x v="2"/>
    <d v="2026-03-04T00:00:00"/>
    <n v="8500000"/>
    <s v="Repeat client"/>
    <n v="464"/>
    <s v="Raj Malhotra"/>
    <n v="2022"/>
    <s v="Below Target"/>
  </r>
  <r>
    <s v="RG-342"/>
    <d v="2024-09-09T00:00:00"/>
    <s v="Pooja Desai"/>
    <x v="0"/>
    <x v="0"/>
    <s v="2BHK"/>
    <n v="5550000"/>
    <n v="5550000"/>
    <x v="1"/>
    <d v="2026-11-16T00:00:00"/>
    <n v="8500000"/>
    <s v="Builder referral"/>
    <n v="0"/>
    <s v="Sneha Kapoor"/>
    <n v="2021"/>
    <s v="Excellent"/>
  </r>
  <r>
    <s v="RG-343"/>
    <d v="2024-02-16T00:00:00"/>
    <s v="Ravi Patel"/>
    <x v="0"/>
    <x v="0"/>
    <s v="1BHK"/>
    <n v="3050000"/>
    <n v="300000"/>
    <x v="2"/>
    <d v="2026-05-04T00:00:00"/>
    <n v="8000000"/>
    <s v="Online inquiry"/>
    <n v="773"/>
    <s v="Sneha Kapoor"/>
    <n v="2021"/>
    <s v="Below Target"/>
  </r>
  <r>
    <s v="RG-344"/>
    <d v="2024-12-14T00:00:00"/>
    <s v="Ravi Patel"/>
    <x v="2"/>
    <x v="2"/>
    <s v="4BHK"/>
    <n v="11750000"/>
    <n v="0"/>
    <x v="0"/>
    <d v="2026-05-26T00:00:00"/>
    <n v="8000000"/>
    <s v="NRI buyer"/>
    <n v="0"/>
    <s v="Priya Nair"/>
    <n v="2023"/>
    <s v="N/A"/>
  </r>
  <r>
    <s v="RG-345"/>
    <d v="2024-05-09T00:00:00"/>
    <s v="Amit Verma"/>
    <x v="1"/>
    <x v="1"/>
    <s v="1BHK"/>
    <n v="2900000"/>
    <n v="700000"/>
    <x v="2"/>
    <d v="2025-07-12T00:00:00"/>
    <n v="9000000"/>
    <s v="Online inquiry"/>
    <n v="690"/>
    <s v="Raj Malhotra"/>
    <n v="2022"/>
    <s v="Below Target"/>
  </r>
  <r>
    <s v="RG-346"/>
    <d v="2024-03-20T00:00:00"/>
    <s v="Amit Verma"/>
    <x v="0"/>
    <x v="0"/>
    <s v="1BHK"/>
    <n v="3350000"/>
    <n v="0"/>
    <x v="0"/>
    <d v="2025-11-19T00:00:00"/>
    <n v="9000000"/>
    <s v="Referred by agent"/>
    <n v="0"/>
    <s v="Sneha Kapoor"/>
    <n v="2021"/>
    <s v="N/A"/>
  </r>
  <r>
    <s v="RG-347"/>
    <d v="2024-01-26T00:00:00"/>
    <s v="Amit Verma"/>
    <x v="0"/>
    <x v="0"/>
    <s v="2BHK"/>
    <n v="4700000"/>
    <n v="4700000"/>
    <x v="1"/>
    <d v="2025-08-16T00:00:00"/>
    <n v="9000000"/>
    <s v="Builder referral"/>
    <n v="0"/>
    <s v="Sneha Kapoor"/>
    <n v="2021"/>
    <s v="Excellent"/>
  </r>
  <r>
    <s v="RG-348"/>
    <d v="2024-06-30T00:00:00"/>
    <s v="Meena Shah"/>
    <x v="1"/>
    <x v="1"/>
    <s v="4BHK"/>
    <n v="12500000"/>
    <n v="1350000"/>
    <x v="2"/>
    <d v="2026-12-14T00:00:00"/>
    <n v="7500000"/>
    <s v="Repeat client"/>
    <n v="638"/>
    <s v="Raj Malhotra"/>
    <n v="2022"/>
    <s v="Below Target"/>
  </r>
  <r>
    <s v="RG-349"/>
    <d v="2024-02-09T00:00:00"/>
    <s v="Karan Mehta"/>
    <x v="0"/>
    <x v="0"/>
    <s v="3BHK"/>
    <n v="8750000"/>
    <n v="8750000"/>
    <x v="1"/>
    <d v="2025-01-22T00:00:00"/>
    <n v="7000000"/>
    <s v="Repeat client"/>
    <n v="0"/>
    <s v="Sneha Kapoor"/>
    <n v="2021"/>
    <s v="Excellent"/>
  </r>
  <r>
    <s v="RG-350"/>
    <d v="2024-05-01T00:00:00"/>
    <s v="Pooja Desai"/>
    <x v="0"/>
    <x v="0"/>
    <s v="2BHK"/>
    <n v="5500000"/>
    <n v="5500000"/>
    <x v="1"/>
    <d v="2025-01-31T00:00:00"/>
    <n v="8500000"/>
    <s v="Referred by agent"/>
    <n v="0"/>
    <s v="Sneha Kapoor"/>
    <n v="2021"/>
    <s v="Excellent"/>
  </r>
  <r>
    <s v="RG-351"/>
    <d v="2024-11-13T00:00:00"/>
    <s v="Ravi Patel"/>
    <x v="1"/>
    <x v="1"/>
    <s v="2BHK"/>
    <n v="4450000"/>
    <n v="0"/>
    <x v="0"/>
    <d v="2026-03-29T00:00:00"/>
    <n v="8000000"/>
    <s v="Online inquiry"/>
    <n v="0"/>
    <s v="Raj Malhotra"/>
    <n v="2022"/>
    <s v="N/A"/>
  </r>
  <r>
    <s v="RG-352"/>
    <d v="2024-10-11T00:00:00"/>
    <s v="Ravi Patel"/>
    <x v="0"/>
    <x v="0"/>
    <s v="1BHK"/>
    <n v="2750000"/>
    <n v="0"/>
    <x v="0"/>
    <d v="2026-05-30T00:00:00"/>
    <n v="8000000"/>
    <s v="N/A"/>
    <n v="0"/>
    <s v="Sneha Kapoor"/>
    <n v="2021"/>
    <s v="N/A"/>
  </r>
  <r>
    <s v="RG-353"/>
    <d v="2024-01-24T00:00:00"/>
    <s v="Pooja Desai"/>
    <x v="0"/>
    <x v="0"/>
    <s v="3BHK"/>
    <n v="6750000"/>
    <n v="6750000"/>
    <x v="1"/>
    <d v="2025-11-17T00:00:00"/>
    <n v="8500000"/>
    <s v="Referred by agent"/>
    <n v="0"/>
    <s v="Sneha Kapoor"/>
    <n v="2021"/>
    <s v="Excellent"/>
  </r>
  <r>
    <s v="RG-354"/>
    <d v="2024-03-26T00:00:00"/>
    <s v="Pooja Desai"/>
    <x v="0"/>
    <x v="0"/>
    <s v="4BHK"/>
    <n v="12850000"/>
    <n v="12850000"/>
    <x v="1"/>
    <d v="2025-03-09T00:00:00"/>
    <n v="8500000"/>
    <s v="N/A"/>
    <n v="0"/>
    <s v="Sneha Kapoor"/>
    <n v="2021"/>
    <s v="Excellent"/>
  </r>
  <r>
    <s v="RG-355"/>
    <d v="2024-08-04T00:00:00"/>
    <s v="Ravi Patel"/>
    <x v="0"/>
    <x v="0"/>
    <s v="2BHK"/>
    <n v="4250000"/>
    <n v="4250000"/>
    <x v="1"/>
    <d v="2025-10-02T00:00:00"/>
    <n v="8000000"/>
    <s v="N/A"/>
    <n v="0"/>
    <s v="Sneha Kapoor"/>
    <n v="2021"/>
    <s v="Excellent"/>
  </r>
  <r>
    <s v="RG-356"/>
    <d v="2024-05-26T00:00:00"/>
    <s v="Pooja Desai"/>
    <x v="0"/>
    <x v="0"/>
    <s v="4BHK"/>
    <n v="13050000"/>
    <n v="13050000"/>
    <x v="1"/>
    <d v="2025-12-18T00:00:00"/>
    <n v="8500000"/>
    <s v="N/A"/>
    <n v="0"/>
    <s v="Sneha Kapoor"/>
    <n v="2021"/>
    <s v="Excellent"/>
  </r>
  <r>
    <s v="RG-357"/>
    <d v="2024-07-12T00:00:00"/>
    <s v="Amit Verma"/>
    <x v="1"/>
    <x v="1"/>
    <s v="2BHK"/>
    <n v="4350000"/>
    <n v="0"/>
    <x v="0"/>
    <d v="2025-01-09T00:00:00"/>
    <n v="9000000"/>
    <s v="N/A"/>
    <n v="0"/>
    <s v="Raj Malhotra"/>
    <n v="2022"/>
    <s v="N/A"/>
  </r>
  <r>
    <s v="RG-358"/>
    <d v="2024-05-07T00:00:00"/>
    <s v="Ravi Patel"/>
    <x v="0"/>
    <x v="0"/>
    <s v="2BHK"/>
    <n v="5100000"/>
    <n v="1900000"/>
    <x v="2"/>
    <d v="2025-03-03T00:00:00"/>
    <n v="8000000"/>
    <s v="Builder referral"/>
    <n v="692"/>
    <s v="Sneha Kapoor"/>
    <n v="2021"/>
    <s v="Below Target"/>
  </r>
  <r>
    <s v="RG-359"/>
    <d v="2024-12-27T00:00:00"/>
    <s v="Amit Verma"/>
    <x v="1"/>
    <x v="1"/>
    <s v="2BHK"/>
    <n v="4500000"/>
    <n v="1200000"/>
    <x v="2"/>
    <d v="2026-07-22T00:00:00"/>
    <n v="9000000"/>
    <s v="Online inquiry"/>
    <n v="458"/>
    <s v="Raj Malhotra"/>
    <n v="2022"/>
    <s v="Below Target"/>
  </r>
  <r>
    <s v="RG-360"/>
    <d v="2024-05-19T00:00:00"/>
    <s v="Karan Mehta"/>
    <x v="0"/>
    <x v="0"/>
    <s v="2BHK"/>
    <n v="4950000"/>
    <n v="1050000"/>
    <x v="2"/>
    <d v="2026-04-10T00:00:00"/>
    <n v="7000000"/>
    <s v="Walk-in customer"/>
    <n v="680"/>
    <s v="Sneha Kapoor"/>
    <n v="2021"/>
    <s v="Below Target"/>
  </r>
  <r>
    <s v="RG-361"/>
    <d v="2024-05-16T00:00:00"/>
    <s v="Meena Shah"/>
    <x v="0"/>
    <x v="0"/>
    <s v="4BHK"/>
    <n v="12100000"/>
    <n v="3950000"/>
    <x v="2"/>
    <d v="2026-06-17T00:00:00"/>
    <n v="7500000"/>
    <s v="Builder referral"/>
    <n v="683"/>
    <s v="Sneha Kapoor"/>
    <n v="2021"/>
    <s v="Below Target"/>
  </r>
  <r>
    <s v="RG-362"/>
    <d v="2024-03-22T00:00:00"/>
    <s v="Ravi Patel"/>
    <x v="0"/>
    <x v="0"/>
    <s v="4BHK"/>
    <n v="13450000"/>
    <n v="13450000"/>
    <x v="1"/>
    <d v="2025-04-10T00:00:00"/>
    <n v="8000000"/>
    <s v="N/A"/>
    <n v="0"/>
    <s v="Sneha Kapoor"/>
    <n v="2021"/>
    <s v="Excellent"/>
  </r>
  <r>
    <s v="RG-363"/>
    <d v="2024-07-17T00:00:00"/>
    <s v="Pooja Desai"/>
    <x v="1"/>
    <x v="1"/>
    <s v="2BHK"/>
    <n v="4400000"/>
    <n v="1300000"/>
    <x v="2"/>
    <d v="2026-12-24T00:00:00"/>
    <n v="8500000"/>
    <s v="Walk-in customer"/>
    <n v="621"/>
    <s v="Raj Malhotra"/>
    <n v="2022"/>
    <s v="Below Target"/>
  </r>
  <r>
    <s v="RG-364"/>
    <d v="2024-03-10T00:00:00"/>
    <s v="Amit Verma"/>
    <x v="1"/>
    <x v="1"/>
    <s v="2BHK"/>
    <n v="5750000"/>
    <n v="1250000"/>
    <x v="2"/>
    <d v="2025-08-09T00:00:00"/>
    <n v="9000000"/>
    <s v="N/A"/>
    <n v="750"/>
    <s v="Raj Malhotra"/>
    <n v="2022"/>
    <s v="Below Target"/>
  </r>
  <r>
    <s v="RG-365"/>
    <d v="2024-07-03T00:00:00"/>
    <s v="Karan Mehta"/>
    <x v="1"/>
    <x v="1"/>
    <s v="4BHK"/>
    <n v="10600000"/>
    <n v="3850000"/>
    <x v="2"/>
    <d v="2025-03-07T00:00:00"/>
    <n v="7000000"/>
    <s v="Builder referral"/>
    <n v="635"/>
    <s v="Raj Malhotra"/>
    <n v="2022"/>
    <s v="Below Target"/>
  </r>
  <r>
    <s v="RG-366"/>
    <d v="2024-04-20T00:00:00"/>
    <s v="Amit Verma"/>
    <x v="0"/>
    <x v="0"/>
    <s v="2BHK"/>
    <n v="4850000"/>
    <n v="550000"/>
    <x v="2"/>
    <d v="2025-08-19T00:00:00"/>
    <n v="9000000"/>
    <s v="Builder referral"/>
    <n v="709"/>
    <s v="Sneha Kapoor"/>
    <n v="2021"/>
    <s v="Below Target"/>
  </r>
  <r>
    <s v="RG-367"/>
    <d v="2024-10-28T00:00:00"/>
    <s v="Pooja Desai"/>
    <x v="1"/>
    <x v="1"/>
    <s v="4BHK"/>
    <n v="12100000"/>
    <n v="0"/>
    <x v="0"/>
    <d v="2026-04-08T00:00:00"/>
    <n v="8500000"/>
    <s v="Online inquiry"/>
    <n v="0"/>
    <s v="Raj Malhotra"/>
    <n v="2022"/>
    <s v="N/A"/>
  </r>
  <r>
    <s v="RG-368"/>
    <d v="2024-09-20T00:00:00"/>
    <s v="Pooja Desai"/>
    <x v="1"/>
    <x v="1"/>
    <s v="2BHK"/>
    <n v="4050000"/>
    <n v="4050000"/>
    <x v="1"/>
    <d v="2026-04-25T00:00:00"/>
    <n v="8500000"/>
    <s v="N/A"/>
    <n v="0"/>
    <s v="Raj Malhotra"/>
    <n v="2022"/>
    <s v="Excellent"/>
  </r>
  <r>
    <s v="RG-369"/>
    <d v="2024-01-14T00:00:00"/>
    <s v="Karan Mehta"/>
    <x v="2"/>
    <x v="2"/>
    <s v="2BHK"/>
    <n v="4050000"/>
    <n v="4050000"/>
    <x v="1"/>
    <d v="2025-04-17T00:00:00"/>
    <n v="7000000"/>
    <s v="Builder referral"/>
    <n v="0"/>
    <s v="Priya Nair"/>
    <n v="2023"/>
    <s v="Excellent"/>
  </r>
  <r>
    <s v="RG-370"/>
    <d v="2024-01-14T00:00:00"/>
    <s v="Pooja Desai"/>
    <x v="0"/>
    <x v="0"/>
    <s v="1BHK"/>
    <n v="3150000"/>
    <n v="450000"/>
    <x v="2"/>
    <d v="2025-10-27T00:00:00"/>
    <n v="8500000"/>
    <s v="Walk-in customer"/>
    <n v="806"/>
    <s v="Sneha Kapoor"/>
    <n v="2021"/>
    <s v="Below Target"/>
  </r>
  <r>
    <s v="RG-371"/>
    <d v="2024-06-17T00:00:00"/>
    <s v="Karan Mehta"/>
    <x v="1"/>
    <x v="1"/>
    <s v="3BHK"/>
    <n v="8550000"/>
    <n v="950000"/>
    <x v="2"/>
    <d v="2025-02-22T00:00:00"/>
    <n v="7000000"/>
    <s v="Online inquiry"/>
    <n v="651"/>
    <s v="Raj Malhotra"/>
    <n v="2022"/>
    <s v="Below Target"/>
  </r>
  <r>
    <s v="RG-372"/>
    <d v="2024-05-10T00:00:00"/>
    <s v="Ravi Patel"/>
    <x v="0"/>
    <x v="0"/>
    <s v="3BHK"/>
    <n v="8750000"/>
    <n v="0"/>
    <x v="0"/>
    <d v="2026-09-23T00:00:00"/>
    <n v="8000000"/>
    <s v="Online inquiry"/>
    <n v="0"/>
    <s v="Sneha Kapoor"/>
    <n v="2021"/>
    <s v="N/A"/>
  </r>
  <r>
    <s v="RG-373"/>
    <d v="2024-08-07T00:00:00"/>
    <s v="Ravi Patel"/>
    <x v="0"/>
    <x v="0"/>
    <s v="2BHK"/>
    <n v="5000000"/>
    <n v="5000000"/>
    <x v="1"/>
    <d v="2025-06-18T00:00:00"/>
    <n v="8000000"/>
    <s v="Online inquiry"/>
    <n v="0"/>
    <s v="Sneha Kapoor"/>
    <n v="2021"/>
    <s v="Excellent"/>
  </r>
  <r>
    <s v="RG-374"/>
    <d v="2024-03-12T00:00:00"/>
    <s v="Meena Shah"/>
    <x v="0"/>
    <x v="0"/>
    <s v="2BHK"/>
    <n v="5150000"/>
    <n v="1450000"/>
    <x v="2"/>
    <d v="2026-05-23T00:00:00"/>
    <n v="7500000"/>
    <s v="Builder referral"/>
    <n v="748"/>
    <s v="Sneha Kapoor"/>
    <n v="2021"/>
    <s v="Below Target"/>
  </r>
  <r>
    <s v="RG-375"/>
    <d v="2024-06-18T00:00:00"/>
    <s v="Meena Shah"/>
    <x v="2"/>
    <x v="2"/>
    <s v="2BHK"/>
    <n v="5500000"/>
    <n v="5500000"/>
    <x v="1"/>
    <d v="2024-12-29T00:00:00"/>
    <n v="7500000"/>
    <s v="Repeat client"/>
    <n v="0"/>
    <s v="Priya Nair"/>
    <n v="2023"/>
    <s v="Excellent"/>
  </r>
  <r>
    <s v="RG-376"/>
    <d v="2024-06-03T00:00:00"/>
    <s v="Pooja Desai"/>
    <x v="0"/>
    <x v="0"/>
    <s v="1BHK"/>
    <n v="3000000"/>
    <n v="700000"/>
    <x v="2"/>
    <d v="2025-03-20T00:00:00"/>
    <n v="8500000"/>
    <s v="N/A"/>
    <n v="665"/>
    <s v="Sneha Kapoor"/>
    <n v="2021"/>
    <s v="Below Target"/>
  </r>
  <r>
    <s v="RG-377"/>
    <d v="2024-11-02T00:00:00"/>
    <s v="Ravi Patel"/>
    <x v="1"/>
    <x v="1"/>
    <s v="2BHK"/>
    <n v="5600000"/>
    <n v="5600000"/>
    <x v="1"/>
    <d v="2026-01-17T00:00:00"/>
    <n v="8000000"/>
    <s v="Builder referral"/>
    <n v="0"/>
    <s v="Raj Malhotra"/>
    <n v="2022"/>
    <s v="Excellent"/>
  </r>
  <r>
    <s v="RG-378"/>
    <d v="2024-02-16T00:00:00"/>
    <s v="Karan Mehta"/>
    <x v="1"/>
    <x v="1"/>
    <s v="2BHK"/>
    <n v="4700000"/>
    <n v="4700000"/>
    <x v="1"/>
    <d v="2025-08-27T00:00:00"/>
    <n v="7000000"/>
    <s v="Builder referral"/>
    <n v="0"/>
    <s v="Raj Malhotra"/>
    <n v="2022"/>
    <s v="Excellent"/>
  </r>
  <r>
    <s v="RG-379"/>
    <d v="2024-06-24T00:00:00"/>
    <s v="Ravi Patel"/>
    <x v="0"/>
    <x v="0"/>
    <s v="1BHK"/>
    <n v="2750000"/>
    <n v="0"/>
    <x v="0"/>
    <d v="2026-03-14T00:00:00"/>
    <n v="8000000"/>
    <s v="N/A"/>
    <n v="0"/>
    <s v="Sneha Kapoor"/>
    <n v="2021"/>
    <s v="N/A"/>
  </r>
  <r>
    <s v="RG-380"/>
    <d v="2024-05-17T00:00:00"/>
    <s v="Ravi Patel"/>
    <x v="1"/>
    <x v="1"/>
    <s v="2BHK"/>
    <n v="5350000"/>
    <n v="1150000"/>
    <x v="2"/>
    <d v="2026-09-02T00:00:00"/>
    <n v="8000000"/>
    <s v="N/A"/>
    <n v="682"/>
    <s v="Raj Malhotra"/>
    <n v="2022"/>
    <s v="Below Target"/>
  </r>
  <r>
    <s v="RG-381"/>
    <d v="2024-11-11T00:00:00"/>
    <s v="Ravi Patel"/>
    <x v="0"/>
    <x v="0"/>
    <s v="2BHK"/>
    <n v="4450000"/>
    <n v="4450000"/>
    <x v="1"/>
    <d v="2026-11-22T00:00:00"/>
    <n v="8000000"/>
    <s v="N/A"/>
    <n v="0"/>
    <s v="Sneha Kapoor"/>
    <n v="2021"/>
    <s v="Excellent"/>
  </r>
  <r>
    <s v="RG-382"/>
    <d v="2024-08-20T00:00:00"/>
    <s v="Ravi Patel"/>
    <x v="2"/>
    <x v="2"/>
    <s v="3BHK"/>
    <n v="6600000"/>
    <n v="6600000"/>
    <x v="1"/>
    <d v="2026-01-23T00:00:00"/>
    <n v="8000000"/>
    <s v="Online inquiry"/>
    <n v="0"/>
    <s v="Priya Nair"/>
    <n v="2023"/>
    <s v="Excellent"/>
  </r>
  <r>
    <s v="RG-383"/>
    <d v="2024-06-25T00:00:00"/>
    <s v="Meena Shah"/>
    <x v="1"/>
    <x v="1"/>
    <s v="3BHK"/>
    <n v="6850000"/>
    <n v="6850000"/>
    <x v="1"/>
    <d v="2026-03-19T00:00:00"/>
    <n v="7500000"/>
    <s v="Builder referral"/>
    <n v="0"/>
    <s v="Raj Malhotra"/>
    <n v="2022"/>
    <s v="Excellent"/>
  </r>
  <r>
    <s v="RG-384"/>
    <d v="2024-08-18T00:00:00"/>
    <s v="Pooja Desai"/>
    <x v="0"/>
    <x v="0"/>
    <s v="3BHK"/>
    <n v="8000000"/>
    <n v="8000000"/>
    <x v="1"/>
    <d v="2026-05-22T00:00:00"/>
    <n v="8500000"/>
    <s v="Builder referral"/>
    <n v="0"/>
    <s v="Sneha Kapoor"/>
    <n v="2021"/>
    <s v="Excellent"/>
  </r>
  <r>
    <s v="RG-385"/>
    <d v="2024-08-04T00:00:00"/>
    <s v="Pooja Desai"/>
    <x v="0"/>
    <x v="0"/>
    <s v="3BHK"/>
    <n v="6900000"/>
    <n v="6900000"/>
    <x v="1"/>
    <d v="2026-03-19T00:00:00"/>
    <n v="8500000"/>
    <s v="Repeat client"/>
    <n v="0"/>
    <s v="Sneha Kapoor"/>
    <n v="2021"/>
    <s v="Excellent"/>
  </r>
  <r>
    <s v="RG-386"/>
    <d v="2024-08-23T00:00:00"/>
    <s v="Amit Verma"/>
    <x v="1"/>
    <x v="1"/>
    <s v="2BHK"/>
    <n v="5400000"/>
    <n v="800000"/>
    <x v="2"/>
    <d v="2026-05-17T00:00:00"/>
    <n v="9000000"/>
    <s v="Repeat client"/>
    <n v="584"/>
    <s v="Raj Malhotra"/>
    <n v="2022"/>
    <s v="Below Target"/>
  </r>
  <r>
    <s v="RG-387"/>
    <d v="2024-07-14T00:00:00"/>
    <s v="Meena Shah"/>
    <x v="0"/>
    <x v="0"/>
    <s v="1BHK"/>
    <n v="3050000"/>
    <n v="300000"/>
    <x v="2"/>
    <d v="2026-11-06T00:00:00"/>
    <n v="7500000"/>
    <s v="Walk-in customer"/>
    <n v="624"/>
    <s v="Sneha Kapoor"/>
    <n v="2021"/>
    <s v="Below Target"/>
  </r>
  <r>
    <s v="RG-388"/>
    <d v="2024-10-29T00:00:00"/>
    <s v="Ravi Patel"/>
    <x v="0"/>
    <x v="0"/>
    <s v="2BHK"/>
    <n v="4950000"/>
    <n v="550000"/>
    <x v="2"/>
    <d v="2026-05-09T00:00:00"/>
    <n v="8000000"/>
    <s v="Builder referral"/>
    <n v="517"/>
    <s v="Sneha Kapoor"/>
    <n v="2021"/>
    <s v="Below Target"/>
  </r>
  <r>
    <s v="RG-389"/>
    <d v="2024-05-16T00:00:00"/>
    <s v="Ravi Patel"/>
    <x v="0"/>
    <x v="0"/>
    <s v="2BHK"/>
    <n v="5250000"/>
    <n v="5250000"/>
    <x v="1"/>
    <d v="2026-05-24T00:00:00"/>
    <n v="8000000"/>
    <s v="Builder referral"/>
    <n v="0"/>
    <s v="Sneha Kapoor"/>
    <n v="2021"/>
    <s v="Excellent"/>
  </r>
  <r>
    <s v="RG-390"/>
    <d v="2024-05-15T00:00:00"/>
    <s v="Amit Verma"/>
    <x v="0"/>
    <x v="0"/>
    <s v="1BHK"/>
    <n v="2900000"/>
    <n v="750000"/>
    <x v="2"/>
    <d v="2026-03-28T00:00:00"/>
    <n v="9000000"/>
    <s v="Walk-in customer"/>
    <n v="684"/>
    <s v="Sneha Kapoor"/>
    <n v="2021"/>
    <s v="Below Target"/>
  </r>
  <r>
    <s v="RG-391"/>
    <d v="2024-02-08T00:00:00"/>
    <s v="Pooja Desai"/>
    <x v="0"/>
    <x v="0"/>
    <s v="1BHK"/>
    <n v="2650000"/>
    <n v="800000"/>
    <x v="2"/>
    <d v="2025-10-28T00:00:00"/>
    <n v="8500000"/>
    <s v="Referred by agent"/>
    <n v="781"/>
    <s v="Sneha Kapoor"/>
    <n v="2021"/>
    <s v="Below Target"/>
  </r>
  <r>
    <s v="RG-392"/>
    <d v="2024-02-14T00:00:00"/>
    <s v="Ravi Patel"/>
    <x v="0"/>
    <x v="0"/>
    <s v="3BHK"/>
    <n v="8100000"/>
    <n v="8100000"/>
    <x v="1"/>
    <d v="2025-10-25T00:00:00"/>
    <n v="8000000"/>
    <s v="Repeat client"/>
    <n v="0"/>
    <s v="Sneha Kapoor"/>
    <n v="2021"/>
    <s v="Excellent"/>
  </r>
  <r>
    <s v="RG-393"/>
    <d v="2024-12-18T00:00:00"/>
    <s v="Meena Shah"/>
    <x v="1"/>
    <x v="1"/>
    <s v="2BHK"/>
    <n v="5850000"/>
    <n v="5850000"/>
    <x v="1"/>
    <d v="2025-09-19T00:00:00"/>
    <n v="7500000"/>
    <s v="Repeat client"/>
    <n v="0"/>
    <s v="Raj Malhotra"/>
    <n v="2022"/>
    <s v="Excellent"/>
  </r>
  <r>
    <s v="RG-394"/>
    <d v="2024-06-21T00:00:00"/>
    <s v="Amit Verma"/>
    <x v="0"/>
    <x v="0"/>
    <s v="3BHK"/>
    <n v="8350000"/>
    <n v="0"/>
    <x v="0"/>
    <d v="2026-04-30T00:00:00"/>
    <n v="9000000"/>
    <s v="Repeat client"/>
    <n v="0"/>
    <s v="Sneha Kapoor"/>
    <n v="2021"/>
    <s v="N/A"/>
  </r>
  <r>
    <s v="RG-395"/>
    <d v="2024-10-25T00:00:00"/>
    <s v="Pooja Desai"/>
    <x v="1"/>
    <x v="1"/>
    <s v="3BHK"/>
    <n v="6650000"/>
    <n v="6650000"/>
    <x v="1"/>
    <d v="2027-04-11T00:00:00"/>
    <n v="8500000"/>
    <s v="N/A"/>
    <n v="0"/>
    <s v="Raj Malhotra"/>
    <n v="2022"/>
    <s v="Excellent"/>
  </r>
  <r>
    <s v="RG-396"/>
    <d v="2024-08-26T00:00:00"/>
    <s v="Amit Verma"/>
    <x v="0"/>
    <x v="0"/>
    <s v="3BHK"/>
    <n v="7000000"/>
    <n v="7000000"/>
    <x v="1"/>
    <d v="2026-01-06T00:00:00"/>
    <n v="9000000"/>
    <s v="NRI buyer"/>
    <n v="0"/>
    <s v="Sneha Kapoor"/>
    <n v="2021"/>
    <s v="Excellent"/>
  </r>
  <r>
    <s v="RG-397"/>
    <d v="2024-03-05T00:00:00"/>
    <s v="Ravi Patel"/>
    <x v="1"/>
    <x v="1"/>
    <s v="2BHK"/>
    <n v="4800000"/>
    <n v="550000"/>
    <x v="2"/>
    <d v="2025-02-05T00:00:00"/>
    <n v="8000000"/>
    <s v="N/A"/>
    <n v="755"/>
    <s v="Raj Malhotra"/>
    <n v="2022"/>
    <s v="Below Target"/>
  </r>
  <r>
    <s v="RG-398"/>
    <d v="2024-01-27T00:00:00"/>
    <s v="Meena Shah"/>
    <x v="2"/>
    <x v="2"/>
    <s v="1BHK"/>
    <n v="3300000"/>
    <n v="3300000"/>
    <x v="2"/>
    <d v="2025-11-24T00:00:00"/>
    <n v="7500000"/>
    <s v="N/A"/>
    <n v="793"/>
    <s v="Priya Nair"/>
    <n v="2023"/>
    <s v="Excellent"/>
  </r>
  <r>
    <s v="RG-399"/>
    <d v="2024-12-23T00:00:00"/>
    <s v="Meena Shah"/>
    <x v="1"/>
    <x v="1"/>
    <s v="1BHK"/>
    <n v="3400000"/>
    <n v="3400000"/>
    <x v="1"/>
    <d v="2027-01-29T00:00:00"/>
    <n v="7500000"/>
    <s v="Builder referral"/>
    <n v="0"/>
    <s v="Raj Malhotra"/>
    <n v="2022"/>
    <s v="Excellent"/>
  </r>
  <r>
    <s v="RG-400"/>
    <d v="2024-03-06T00:00:00"/>
    <s v="Pooja Desai"/>
    <x v="0"/>
    <x v="0"/>
    <s v="2BHK"/>
    <n v="5100000"/>
    <n v="1150000"/>
    <x v="2"/>
    <d v="2025-04-06T00:00:00"/>
    <n v="8500000"/>
    <s v="N/A"/>
    <n v="754"/>
    <s v="Sneha Kapoor"/>
    <n v="2021"/>
    <s v="Below Target"/>
  </r>
  <r>
    <s v="RG-401"/>
    <d v="2024-06-11T00:00:00"/>
    <s v="Pooja Desai"/>
    <x v="1"/>
    <x v="1"/>
    <s v="2BHK"/>
    <n v="4250000"/>
    <n v="1300000"/>
    <x v="2"/>
    <d v="2025-12-31T00:00:00"/>
    <n v="8500000"/>
    <s v="N/A"/>
    <n v="657"/>
    <s v="Raj Malhotra"/>
    <n v="2022"/>
    <s v="Below Target"/>
  </r>
  <r>
    <s v="RG-402"/>
    <d v="2024-09-02T00:00:00"/>
    <s v="Amit Verma"/>
    <x v="1"/>
    <x v="1"/>
    <s v="2BHK"/>
    <n v="4600000"/>
    <n v="0"/>
    <x v="0"/>
    <d v="2027-02-10T00:00:00"/>
    <n v="9000000"/>
    <s v="N/A"/>
    <n v="0"/>
    <s v="Raj Malhotra"/>
    <n v="2022"/>
    <s v="N/A"/>
  </r>
  <r>
    <s v="RG-403"/>
    <d v="2024-06-02T00:00:00"/>
    <s v="Ravi Patel"/>
    <x v="2"/>
    <x v="2"/>
    <s v="4BHK"/>
    <n v="9750000"/>
    <n v="9750000"/>
    <x v="1"/>
    <d v="2026-01-18T00:00:00"/>
    <n v="8000000"/>
    <s v="N/A"/>
    <n v="0"/>
    <s v="Priya Nair"/>
    <n v="2023"/>
    <s v="Excellent"/>
  </r>
  <r>
    <s v="RG-404"/>
    <d v="2024-02-15T00:00:00"/>
    <s v="Karan Mehta"/>
    <x v="0"/>
    <x v="0"/>
    <s v="2BHK"/>
    <n v="4900000"/>
    <n v="4900000"/>
    <x v="1"/>
    <d v="2024-09-19T00:00:00"/>
    <n v="7000000"/>
    <s v="N/A"/>
    <n v="0"/>
    <s v="Sneha Kapoor"/>
    <n v="2021"/>
    <s v="Excellent"/>
  </r>
  <r>
    <s v="RG-405"/>
    <d v="2024-10-08T00:00:00"/>
    <s v="Karan Mehta"/>
    <x v="0"/>
    <x v="0"/>
    <s v="2BHK"/>
    <n v="5650000"/>
    <n v="1950000"/>
    <x v="2"/>
    <d v="2026-04-16T00:00:00"/>
    <n v="7000000"/>
    <s v="N/A"/>
    <n v="538"/>
    <s v="Sneha Kapoor"/>
    <n v="2021"/>
    <s v="Below Target"/>
  </r>
  <r>
    <s v="RG-406"/>
    <d v="2024-07-01T00:00:00"/>
    <s v="Ravi Patel"/>
    <x v="0"/>
    <x v="0"/>
    <s v="4BHK"/>
    <n v="12300000"/>
    <n v="12300000"/>
    <x v="1"/>
    <d v="2025-02-11T00:00:00"/>
    <n v="8000000"/>
    <s v="Repeat client"/>
    <n v="0"/>
    <s v="Sneha Kapoor"/>
    <n v="2021"/>
    <s v="Excellent"/>
  </r>
  <r>
    <s v="RG-407"/>
    <d v="2024-05-23T00:00:00"/>
    <s v="Ravi Patel"/>
    <x v="0"/>
    <x v="0"/>
    <s v="2BHK"/>
    <n v="4950000"/>
    <n v="4950000"/>
    <x v="1"/>
    <d v="2025-11-25T00:00:00"/>
    <n v="8000000"/>
    <s v="NRI buyer"/>
    <n v="0"/>
    <s v="Sneha Kapoor"/>
    <n v="2021"/>
    <s v="Excellent"/>
  </r>
  <r>
    <s v="RG-408"/>
    <d v="2024-02-07T00:00:00"/>
    <s v="Pooja Desai"/>
    <x v="1"/>
    <x v="1"/>
    <s v="1BHK"/>
    <n v="3350000"/>
    <n v="0"/>
    <x v="0"/>
    <d v="2025-06-28T00:00:00"/>
    <n v="8500000"/>
    <s v="Repeat client"/>
    <n v="0"/>
    <s v="Raj Malhotra"/>
    <n v="2022"/>
    <s v="N/A"/>
  </r>
  <r>
    <s v="RG-409"/>
    <d v="2024-06-28T00:00:00"/>
    <s v="Amit Verma"/>
    <x v="2"/>
    <x v="2"/>
    <s v="3BHK"/>
    <n v="8150000"/>
    <n v="8150000"/>
    <x v="1"/>
    <d v="2026-08-26T00:00:00"/>
    <n v="9000000"/>
    <s v="NRI buyer"/>
    <n v="0"/>
    <s v="Priya Nair"/>
    <n v="2023"/>
    <s v="Excellent"/>
  </r>
  <r>
    <s v="RG-410"/>
    <d v="2024-09-25T00:00:00"/>
    <s v="Amit Verma"/>
    <x v="1"/>
    <x v="1"/>
    <s v="2BHK"/>
    <n v="4650000"/>
    <n v="700000"/>
    <x v="2"/>
    <d v="2026-09-25T00:00:00"/>
    <n v="9000000"/>
    <s v="N/A"/>
    <n v="551"/>
    <s v="Raj Malhotra"/>
    <n v="2022"/>
    <s v="Below Target"/>
  </r>
  <r>
    <s v="RG-411"/>
    <d v="2024-02-20T00:00:00"/>
    <s v="Ravi Patel"/>
    <x v="2"/>
    <x v="2"/>
    <s v="4BHK"/>
    <n v="11300000"/>
    <n v="2650000"/>
    <x v="2"/>
    <d v="2025-04-08T00:00:00"/>
    <n v="8000000"/>
    <s v="N/A"/>
    <n v="769"/>
    <s v="Priya Nair"/>
    <n v="2023"/>
    <s v="Below Target"/>
  </r>
  <r>
    <s v="RG-412"/>
    <d v="2024-03-30T00:00:00"/>
    <s v="Karan Mehta"/>
    <x v="2"/>
    <x v="2"/>
    <s v="4BHK"/>
    <n v="12500000"/>
    <n v="12500000"/>
    <x v="2"/>
    <d v="2026-08-08T00:00:00"/>
    <n v="7000000"/>
    <s v="Walk-in customer"/>
    <n v="730"/>
    <s v="Priya Nair"/>
    <n v="2023"/>
    <s v="Excellent"/>
  </r>
  <r>
    <s v="RG-413"/>
    <d v="2024-06-06T00:00:00"/>
    <s v="Pooja Desai"/>
    <x v="1"/>
    <x v="1"/>
    <s v="1BHK"/>
    <n v="3150000"/>
    <n v="700000"/>
    <x v="2"/>
    <d v="2025-12-17T00:00:00"/>
    <n v="8500000"/>
    <s v="N/A"/>
    <n v="662"/>
    <s v="Raj Malhotra"/>
    <n v="2022"/>
    <s v="Below Target"/>
  </r>
  <r>
    <s v="RG-414"/>
    <d v="2024-03-07T00:00:00"/>
    <s v="Amit Verma"/>
    <x v="1"/>
    <x v="1"/>
    <s v="1BHK"/>
    <n v="2500000"/>
    <n v="2500000"/>
    <x v="1"/>
    <d v="2026-04-26T00:00:00"/>
    <n v="9000000"/>
    <s v="Walk-in customer"/>
    <n v="0"/>
    <s v="Raj Malhotra"/>
    <n v="2022"/>
    <s v="Excellent"/>
  </r>
  <r>
    <s v="RG-415"/>
    <d v="2024-09-15T00:00:00"/>
    <s v="Pooja Desai"/>
    <x v="1"/>
    <x v="1"/>
    <s v="3BHK"/>
    <n v="8550000"/>
    <n v="8550000"/>
    <x v="1"/>
    <d v="2025-03-20T00:00:00"/>
    <n v="8500000"/>
    <s v="N/A"/>
    <n v="0"/>
    <s v="Raj Malhotra"/>
    <n v="2022"/>
    <s v="Excellent"/>
  </r>
  <r>
    <s v="RG-416"/>
    <d v="2024-01-01T00:00:00"/>
    <s v="Amit Verma"/>
    <x v="1"/>
    <x v="1"/>
    <s v="4BHK"/>
    <n v="12200000"/>
    <n v="2850000"/>
    <x v="2"/>
    <d v="2026-05-21T00:00:00"/>
    <n v="9000000"/>
    <s v="Online inquiry"/>
    <n v="819"/>
    <s v="Raj Malhotra"/>
    <n v="2022"/>
    <s v="Below Target"/>
  </r>
  <r>
    <s v="RG-417"/>
    <d v="2024-07-05T00:00:00"/>
    <s v="Pooja Desai"/>
    <x v="1"/>
    <x v="1"/>
    <s v="3BHK"/>
    <n v="7800000"/>
    <n v="0"/>
    <x v="0"/>
    <d v="2025-05-08T00:00:00"/>
    <n v="8500000"/>
    <s v="Builder referral"/>
    <n v="0"/>
    <s v="Raj Malhotra"/>
    <n v="2022"/>
    <s v="N/A"/>
  </r>
  <r>
    <s v="RG-418"/>
    <d v="2024-01-26T00:00:00"/>
    <s v="Meena Shah"/>
    <x v="1"/>
    <x v="1"/>
    <s v="4BHK"/>
    <n v="12800000"/>
    <n v="1400000"/>
    <x v="2"/>
    <d v="2026-06-23T00:00:00"/>
    <n v="7500000"/>
    <s v="N/A"/>
    <n v="794"/>
    <s v="Raj Malhotra"/>
    <n v="2022"/>
    <s v="Below Target"/>
  </r>
  <r>
    <s v="RG-419"/>
    <d v="2024-12-18T00:00:00"/>
    <s v="Ravi Patel"/>
    <x v="1"/>
    <x v="1"/>
    <s v="1BHK"/>
    <n v="2600000"/>
    <n v="450000"/>
    <x v="2"/>
    <d v="2025-09-01T00:00:00"/>
    <n v="8000000"/>
    <s v="Repeat client"/>
    <n v="467"/>
    <s v="Raj Malhotra"/>
    <n v="2022"/>
    <s v="Below Target"/>
  </r>
  <r>
    <s v="RG-420"/>
    <d v="2024-02-13T00:00:00"/>
    <s v="Karan Mehta"/>
    <x v="0"/>
    <x v="0"/>
    <s v="3BHK"/>
    <n v="6800000"/>
    <n v="6800000"/>
    <x v="1"/>
    <d v="2025-05-12T00:00:00"/>
    <n v="7000000"/>
    <s v="Walk-in customer"/>
    <n v="0"/>
    <s v="Sneha Kapoor"/>
    <n v="2021"/>
    <s v="Excellent"/>
  </r>
  <r>
    <s v="RG-421"/>
    <d v="2024-04-01T00:00:00"/>
    <s v="Ravi Patel"/>
    <x v="2"/>
    <x v="2"/>
    <s v="2BHK"/>
    <n v="4500000"/>
    <n v="4500000"/>
    <x v="1"/>
    <d v="2026-06-24T00:00:00"/>
    <n v="8000000"/>
    <s v="N/A"/>
    <n v="0"/>
    <s v="Priya Nair"/>
    <n v="2023"/>
    <s v="Excellent"/>
  </r>
  <r>
    <s v="RG-422"/>
    <d v="2024-10-30T00:00:00"/>
    <s v="Meena Shah"/>
    <x v="1"/>
    <x v="1"/>
    <s v="4BHK"/>
    <n v="10500000"/>
    <n v="3500000"/>
    <x v="2"/>
    <d v="2026-04-18T00:00:00"/>
    <n v="7500000"/>
    <s v="N/A"/>
    <n v="516"/>
    <s v="Raj Malhotra"/>
    <n v="2022"/>
    <s v="Below Target"/>
  </r>
  <r>
    <s v="RG-423"/>
    <d v="2024-08-07T00:00:00"/>
    <s v="Amit Verma"/>
    <x v="1"/>
    <x v="1"/>
    <s v="1BHK"/>
    <n v="3400000"/>
    <n v="1200000"/>
    <x v="2"/>
    <d v="2025-05-22T00:00:00"/>
    <n v="9000000"/>
    <s v="N/A"/>
    <n v="600"/>
    <s v="Raj Malhotra"/>
    <n v="2022"/>
    <s v="Below Target"/>
  </r>
  <r>
    <s v="RG-424"/>
    <d v="2024-07-04T00:00:00"/>
    <s v="Karan Mehta"/>
    <x v="0"/>
    <x v="0"/>
    <s v="4BHK"/>
    <n v="10650000"/>
    <n v="10650000"/>
    <x v="1"/>
    <d v="2026-05-20T00:00:00"/>
    <n v="7000000"/>
    <s v="Referred by agent"/>
    <n v="0"/>
    <s v="Sneha Kapoor"/>
    <n v="2021"/>
    <s v="Excellent"/>
  </r>
  <r>
    <s v="RG-425"/>
    <d v="2024-01-13T00:00:00"/>
    <s v="Ravi Patel"/>
    <x v="1"/>
    <x v="1"/>
    <s v="3BHK"/>
    <n v="6800000"/>
    <n v="1550000"/>
    <x v="2"/>
    <d v="2026-04-16T00:00:00"/>
    <n v="8000000"/>
    <s v="Online inquiry"/>
    <n v="807"/>
    <s v="Raj Malhotra"/>
    <n v="2022"/>
    <s v="Below Target"/>
  </r>
  <r>
    <s v="RG-426"/>
    <d v="2024-07-22T00:00:00"/>
    <s v="Pooja Desai"/>
    <x v="1"/>
    <x v="1"/>
    <s v="4BHK"/>
    <n v="10100000"/>
    <n v="10100000"/>
    <x v="1"/>
    <d v="2025-12-08T00:00:00"/>
    <n v="8500000"/>
    <s v="NRI buyer"/>
    <n v="0"/>
    <s v="Raj Malhotra"/>
    <n v="2022"/>
    <s v="Excellent"/>
  </r>
  <r>
    <s v="RG-427"/>
    <d v="2024-02-26T00:00:00"/>
    <s v="Karan Mehta"/>
    <x v="0"/>
    <x v="0"/>
    <s v="2BHK"/>
    <n v="5500000"/>
    <n v="0"/>
    <x v="0"/>
    <d v="2025-10-03T00:00:00"/>
    <n v="7000000"/>
    <s v="NRI buyer"/>
    <n v="0"/>
    <s v="Sneha Kapoor"/>
    <n v="2021"/>
    <s v="N/A"/>
  </r>
  <r>
    <s v="RG-428"/>
    <d v="2024-12-10T00:00:00"/>
    <s v="Karan Mehta"/>
    <x v="1"/>
    <x v="1"/>
    <s v="4BHK"/>
    <n v="11450000"/>
    <n v="11450000"/>
    <x v="1"/>
    <d v="2026-09-22T00:00:00"/>
    <n v="7000000"/>
    <s v="Repeat client"/>
    <n v="0"/>
    <s v="Raj Malhotra"/>
    <n v="2022"/>
    <s v="Excellent"/>
  </r>
  <r>
    <s v="RG-429"/>
    <d v="2024-08-18T00:00:00"/>
    <s v="Pooja Desai"/>
    <x v="1"/>
    <x v="1"/>
    <s v="2BHK"/>
    <n v="4400000"/>
    <n v="0"/>
    <x v="0"/>
    <d v="2026-10-06T00:00:00"/>
    <n v="8500000"/>
    <s v="N/A"/>
    <n v="0"/>
    <s v="Raj Malhotra"/>
    <n v="2022"/>
    <s v="N/A"/>
  </r>
  <r>
    <s v="RG-430"/>
    <d v="2024-05-12T00:00:00"/>
    <s v="Meena Shah"/>
    <x v="0"/>
    <x v="0"/>
    <s v="2BHK"/>
    <n v="4800000"/>
    <n v="1150000"/>
    <x v="2"/>
    <d v="2026-10-04T00:00:00"/>
    <n v="7500000"/>
    <s v="N/A"/>
    <n v="687"/>
    <s v="Sneha Kapoor"/>
    <n v="2021"/>
    <s v="Below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62F9E-812B-405F-8C64-6B9CEFC63FB1}" name="Revenue_By_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pivotFields count="16">
    <pivotField showAll="0"/>
    <pivotField numFmtId="164" showAll="0"/>
    <pivotField showAll="0"/>
    <pivotField showAll="0"/>
    <pivotField axis="axisRow" showAll="0">
      <items count="4">
        <item x="0"/>
        <item x="1"/>
        <item x="2"/>
        <item t="default"/>
      </items>
    </pivotField>
    <pivotField showAll="0"/>
    <pivotField dataField="1" showAll="0"/>
    <pivotField showAll="0"/>
    <pivotField showAll="0">
      <items count="4">
        <item x="0"/>
        <item h="1" x="1"/>
        <item h="1" x="2"/>
        <item t="default"/>
      </items>
    </pivotField>
    <pivotField numFmtId="164"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Booking_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7F38B-A8CA-42DA-85AF-F7E979A6F8E4}" name="Booking _By_Proje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numFmtId="164" showAll="0"/>
    <pivotField showAll="0"/>
    <pivotField axis="axisRow" showAll="0">
      <items count="4">
        <item x="2"/>
        <item x="1"/>
        <item x="0"/>
        <item t="default"/>
      </items>
    </pivotField>
    <pivotField showAll="0"/>
    <pivotField showAll="0"/>
    <pivotField showAll="0"/>
    <pivotField showAll="0"/>
    <pivotField showAll="0">
      <items count="4">
        <item x="0"/>
        <item h="1" x="1"/>
        <item h="1" x="2"/>
        <item t="default"/>
      </items>
    </pivotField>
    <pivotField numFmtId="164"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ED2448-26E1-4AB9-81CB-DD7E85B82229}" autoFormatId="16" applyNumberFormats="0" applyBorderFormats="0" applyFontFormats="0" applyPatternFormats="0" applyAlignmentFormats="0" applyWidthHeightFormats="0">
  <queryTableRefresh nextId="13">
    <queryTableFields count="12">
      <queryTableField id="1" name="Booking_ID" tableColumnId="1"/>
      <queryTableField id="2" name="Booking_Date" tableColumnId="2"/>
      <queryTableField id="3" name="Sales_Executive" tableColumnId="3"/>
      <queryTableField id="4" name="Project_Name" tableColumnId="4"/>
      <queryTableField id="5" name="Location" tableColumnId="5"/>
      <queryTableField id="6" name="Flat_Type" tableColumnId="6"/>
      <queryTableField id="7" name="Booking_Amount" tableColumnId="7"/>
      <queryTableField id="8" name="Amount_Received" tableColumnId="8"/>
      <queryTableField id="9" name="Payment_Status" tableColumnId="9"/>
      <queryTableField id="10" name="Possession_Date" tableColumnId="10"/>
      <queryTableField id="11" name="Sales_Target" tableColumnId="11"/>
      <queryTableField id="12" name="Remark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7AA76C80-6253-41B7-BD8B-1F0DF452A71C}" sourceName="Payment_Status">
  <pivotTables>
    <pivotTable tabId="7" name="Booking _By_Project"/>
    <pivotTable tabId="7" name="Revenue_By_Location"/>
  </pivotTables>
  <data>
    <tabular pivotCacheId="1677826726">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D0A0BF82-4965-4372-BBC6-9DD5827118AD}" cache="Slicer_Payment_Status" caption="Payment_Status" style="SlicerStyleLight4" rowHeight="24765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585BF-1418-4522-B471-827297C9F191}" name="Revenue_BY_Project" displayName="Revenue_BY_Project" ref="A1:B4" totalsRowShown="0">
  <autoFilter ref="A1:B4" xr:uid="{636585BF-1418-4522-B471-827297C9F191}"/>
  <tableColumns count="2">
    <tableColumn id="1" xr3:uid="{1FEAE15A-7210-4E80-BFCD-69012708692D}" name="Project Name"/>
    <tableColumn id="2" xr3:uid="{FB5A5046-47A9-4421-8D37-EF8F683C5279}" name="Total Revenue">
      <calculatedColumnFormula>SUMIFS('Cleaned Data'!G:G,'Cleaned Data'!D:D,'MIS Summary'!A2)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3F48D0-0649-4A1D-9DCD-44EB55C93B6A}" name="Table2" displayName="Table2" ref="A6:B9" totalsRowShown="0">
  <autoFilter ref="A6:B9" xr:uid="{E83F48D0-0649-4A1D-9DCD-44EB55C93B6A}"/>
  <tableColumns count="2">
    <tableColumn id="1" xr3:uid="{FD8C4CE7-C7B8-4C6B-8D46-6D4EE0A92988}" name="Payment Status"/>
    <tableColumn id="2" xr3:uid="{20C55E38-AB41-4286-93F5-C0038B35B298}" name="Count">
      <calculatedColumnFormula>COUNTIFS('Cleaned Data'!I:I,'MIS Summary'!A7)</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6A8D5C-AEE9-4829-A3C8-2EEF131A7E9B}" name="Revenue_by_Flat_Type" displayName="Revenue_by_Flat_Type" ref="A11:B15" totalsRowShown="0">
  <autoFilter ref="A11:B15" xr:uid="{DC6A8D5C-AEE9-4829-A3C8-2EEF131A7E9B}"/>
  <tableColumns count="2">
    <tableColumn id="1" xr3:uid="{071EF51C-09E9-45A7-9648-969BCC1D6CB0}" name="Flat Type"/>
    <tableColumn id="2" xr3:uid="{D039D2B7-EA6D-4FBB-B332-D6AE74ACBD39}" name="Total Revenue">
      <calculatedColumnFormula>SUMIFS('Cleaned Data'!G:G,'Cleaned Data'!F:F,'MIS Summary'!A12)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4B3A06-4E80-4D7A-BAA7-AE1CCA9E4E1B}" name="Bookings_by_Sales_Executive" displayName="Bookings_by_Sales_Executive" ref="A17:D22" totalsRowShown="0">
  <autoFilter ref="A17:D22" xr:uid="{B04B3A06-4E80-4D7A-BAA7-AE1CCA9E4E1B}"/>
  <tableColumns count="4">
    <tableColumn id="1" xr3:uid="{9AD88EFC-F0BE-47C9-8ECE-9702D4E8FB4C}" name="Sales Executive"/>
    <tableColumn id="2" xr3:uid="{9D53326E-1957-4343-83D0-B34E22FEB9BF}" name="Total Bookings">
      <calculatedColumnFormula>COUNTIFS('Cleaned Data'!C:C,'MIS Summary'!A18)</calculatedColumnFormula>
    </tableColumn>
    <tableColumn id="3" xr3:uid="{F519D163-066B-4232-B818-3A8FCD3A6F77}" name="Total Revenue">
      <calculatedColumnFormula>SUMIFS('Cleaned Data'!G:G,'Cleaned Data'!C:C,'MIS Summary'!A18)</calculatedColumnFormula>
    </tableColumn>
    <tableColumn id="4" xr3:uid="{C9BC0951-7182-4770-A908-798A7D9BA9CE}" name="Performance Rating" dataDxfId="16">
      <calculatedColumnFormula>IF(Bookings_by_Sales_Executive[[#This Row],[Total Revenue]]/Bookings_by_Sales_Executive[[#This Row],[Total Bookings]]&gt;1000000,"Execllent",IF(Bookings_by_Sales_Executive[[#This Row],[Total Revenue]]/Bookings_by_Sales_Executive[[#This Row],[Total Bookings]]&gt;=800000,"Good","Below Target"))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E6890B-17EE-4049-8634-48095D0CFBF8}" name="Table8" displayName="Table8" ref="A1:E6">
  <autoFilter ref="A1:E6" xr:uid="{6BE6890B-17EE-4049-8634-48095D0CFBF8}"/>
  <tableColumns count="5">
    <tableColumn id="1" xr3:uid="{DE2A2F76-2890-4E91-B5E2-CE6F2902A634}" name="Sales Executive" totalsRowLabel="Total"/>
    <tableColumn id="2" xr3:uid="{0C12C21F-B88B-4086-A14F-843DDE83DC2E}" name="Monthly Target"/>
    <tableColumn id="3" xr3:uid="{AE225260-35D0-40C9-9ECE-743052551199}" name="Revenue This Month">
      <calculatedColumnFormula>SUMIFS('Cleaned Data'!G:G,'Cleaned Data'!C:C,A2,'Cleaned Data'!B:B,"&gt;="&amp;DATE(2024,12,1),'Cleaned Data'!B:B,"&lt;="&amp;DATE(2024,12,31))</calculatedColumnFormula>
    </tableColumn>
    <tableColumn id="4" xr3:uid="{1FDC7A80-B246-4270-B18C-61EC53784830}" name="% Achieved" dataCellStyle="Percent">
      <calculatedColumnFormula>C2/B2</calculatedColumnFormula>
    </tableColumn>
    <tableColumn id="5" xr3:uid="{15080133-9C5B-457C-A85B-540ED00FD462}" name="Status" totalsRowFunction="count">
      <calculatedColumnFormula>IF(D2&gt;=1,"Excellent",IF(D2&gt;=0.8,"Good","Below Target"))</calculatedColumnFormula>
    </tableColumn>
  </tableColumns>
  <tableStyleInfo name="TableStyleMedium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7F7105B-363F-42D3-8C6B-DEFF0490CD54}" name="Table810" displayName="Table810" ref="A1:E6">
  <autoFilter ref="A1:E6" xr:uid="{D7F7105B-363F-42D3-8C6B-DEFF0490CD54}"/>
  <tableColumns count="5">
    <tableColumn id="1" xr3:uid="{BAB597D4-AA79-47AD-BF92-45F23FE79277}" name="Sales Executive" totalsRowLabel="Total"/>
    <tableColumn id="2" xr3:uid="{7599C755-6BD2-47B7-B8C9-084885E79406}" name="Daily Target"/>
    <tableColumn id="3" xr3:uid="{95F69E3A-1CA5-43E3-B35A-24ACB9D5C676}" name="Today's Revenue" dataDxfId="17">
      <calculatedColumnFormula>SUMIFS('Cleaned Data'!G:G,'Cleaned Data'!C:C,A2,'Cleaned Data'!B:B,TODAY())</calculatedColumnFormula>
    </tableColumn>
    <tableColumn id="4" xr3:uid="{17EB6B5A-1E87-4FD1-98D5-3D2B254A4252}" name="% Achieved">
      <calculatedColumnFormula>C2/B2</calculatedColumnFormula>
    </tableColumn>
    <tableColumn id="5" xr3:uid="{3BF85BDE-8873-4166-B69D-2D806840A9E0}" name="Status" totalsRowFunction="count">
      <calculatedColumnFormula>IF(D2&gt;=1,"Excellent",IF(D2&gt;=0.8,"Good","Below Target"))</calculatedColumnFormula>
    </tableColumn>
  </tableColumns>
  <tableStyleInfo name="TableStyleMedium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E07AF9-EDC1-481E-BE33-0AD11BAA3D2E}" name="Table6_1" displayName="Table6_1" ref="A1:L431" tableType="queryTable" totalsRowShown="0">
  <autoFilter ref="A1:L431" xr:uid="{C1E07AF9-EDC1-481E-BE33-0AD11BAA3D2E}"/>
  <tableColumns count="12">
    <tableColumn id="1" xr3:uid="{FC01AB78-D54E-4B63-AA9B-1448F44E2DD4}" uniqueName="1" name="Booking_ID" queryTableFieldId="1" dataDxfId="15"/>
    <tableColumn id="2" xr3:uid="{7DFA1C28-FD7E-4564-9CA3-260DB98E5E7D}" uniqueName="2" name="Booking_Date" queryTableFieldId="2" dataDxfId="14"/>
    <tableColumn id="3" xr3:uid="{CD472C26-D47F-496A-82BF-73FC82A667E9}" uniqueName="3" name="Sales_Executive" queryTableFieldId="3" dataDxfId="13"/>
    <tableColumn id="4" xr3:uid="{6D0603AF-6D49-4A53-B132-A8272A8263CC}" uniqueName="4" name="Project_Name" queryTableFieldId="4" dataDxfId="12"/>
    <tableColumn id="5" xr3:uid="{AD223B4C-05E9-442B-95DE-FFCC0889AF02}" uniqueName="5" name="Location" queryTableFieldId="5" dataDxfId="11"/>
    <tableColumn id="6" xr3:uid="{CCB60270-C1C3-4BD0-A502-7990FA6A00BF}" uniqueName="6" name="Flat_Type" queryTableFieldId="6" dataDxfId="10"/>
    <tableColumn id="7" xr3:uid="{87CC75F8-8FED-45A1-AF66-2557A9424E51}" uniqueName="7" name="Booking_Amount" queryTableFieldId="7"/>
    <tableColumn id="8" xr3:uid="{95C153D7-6309-4E85-92EC-9906DFA13420}" uniqueName="8" name="Amount_Received" queryTableFieldId="8"/>
    <tableColumn id="9" xr3:uid="{A7A7B884-F0C4-411C-A859-AFEDABB0F5FD}" uniqueName="9" name="Payment_Status" queryTableFieldId="9" dataDxfId="9"/>
    <tableColumn id="10" xr3:uid="{690D079E-7C00-49B9-ABA0-61BFDA7F989D}" uniqueName="10" name="Possession_Date" queryTableFieldId="10" dataDxfId="8"/>
    <tableColumn id="11" xr3:uid="{90DF5748-778D-4EEC-BAD3-F063D18A45C2}" uniqueName="11" name="Sales_Target" queryTableFieldId="11"/>
    <tableColumn id="12" xr3:uid="{1F166FCF-0B98-47D9-93F1-9551C7D7B0AA}" uniqueName="12" name="Remarks" queryTableFieldId="12" dataDxfId="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26AB54-6EFB-4095-821E-4A830997E499}" name="Table6" displayName="Table6" ref="A1:L431" totalsRowShown="0">
  <autoFilter ref="A1:L431" xr:uid="{5626AB54-6EFB-4095-821E-4A830997E499}"/>
  <tableColumns count="12">
    <tableColumn id="1" xr3:uid="{B1C06AAE-EFD9-4BD5-90CA-188190F02697}" name="Booking_ID"/>
    <tableColumn id="2" xr3:uid="{E320EC60-1FD7-40E4-8B74-16102283BA15}" name="Booking_Date" dataDxfId="6"/>
    <tableColumn id="3" xr3:uid="{ECBF52F7-074C-4B5B-9A6D-EF6D026C9478}" name="Sales_Executive"/>
    <tableColumn id="4" xr3:uid="{14B2EF0A-BA6B-4E48-BADE-CFDF40B20790}" name="Project_Name"/>
    <tableColumn id="5" xr3:uid="{5778553E-770E-4830-B6AC-384449B53A1C}" name="Location"/>
    <tableColumn id="6" xr3:uid="{D0385370-128D-4112-BE58-30E97DA05AEC}" name="Flat_Type"/>
    <tableColumn id="7" xr3:uid="{FFF86E6E-18DD-435C-A3B9-A4D57ADC8485}" name="Booking_Amount"/>
    <tableColumn id="8" xr3:uid="{12DF92F2-E260-41E9-B572-709811C7FA9E}" name="Amount_Received"/>
    <tableColumn id="9" xr3:uid="{F7DA9B98-0636-456C-ADC7-E2F7C8880F23}" name="Payment_Status"/>
    <tableColumn id="10" xr3:uid="{1FAC67C0-033B-4A8D-9B1C-85F9D8566035}" name="Possession_Date" dataDxfId="5"/>
    <tableColumn id="11" xr3:uid="{CC160B80-4902-4492-86C9-292CC07B7602}" name="Sales_Target"/>
    <tableColumn id="12" xr3:uid="{891EE325-CFAE-4CF4-A2C0-644C38C08CBF}"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C74FA-CF17-4615-9F9F-BBFEB48795C1}">
  <dimension ref="A3:B14"/>
  <sheetViews>
    <sheetView workbookViewId="0">
      <selection activeCell="U25" sqref="U25"/>
    </sheetView>
  </sheetViews>
  <sheetFormatPr defaultRowHeight="14.4" x14ac:dyDescent="0.3"/>
  <cols>
    <col min="1" max="1" width="12.44140625" bestFit="1" customWidth="1"/>
    <col min="2" max="2" width="21" bestFit="1" customWidth="1"/>
  </cols>
  <sheetData>
    <row r="3" spans="1:2" x14ac:dyDescent="0.3">
      <c r="A3" s="5" t="s">
        <v>498</v>
      </c>
      <c r="B3" t="s">
        <v>500</v>
      </c>
    </row>
    <row r="4" spans="1:2" x14ac:dyDescent="0.3">
      <c r="A4" s="6" t="s">
        <v>44</v>
      </c>
      <c r="B4" s="11">
        <v>5</v>
      </c>
    </row>
    <row r="5" spans="1:2" x14ac:dyDescent="0.3">
      <c r="A5" s="6" t="s">
        <v>23</v>
      </c>
      <c r="B5" s="11">
        <v>29</v>
      </c>
    </row>
    <row r="6" spans="1:2" x14ac:dyDescent="0.3">
      <c r="A6" s="6" t="s">
        <v>14</v>
      </c>
      <c r="B6" s="11">
        <v>28</v>
      </c>
    </row>
    <row r="7" spans="1:2" x14ac:dyDescent="0.3">
      <c r="A7" s="6" t="s">
        <v>499</v>
      </c>
      <c r="B7" s="11">
        <v>62</v>
      </c>
    </row>
    <row r="10" spans="1:2" x14ac:dyDescent="0.3">
      <c r="A10" s="5" t="s">
        <v>498</v>
      </c>
      <c r="B10" t="s">
        <v>501</v>
      </c>
    </row>
    <row r="11" spans="1:2" x14ac:dyDescent="0.3">
      <c r="A11" s="6" t="s">
        <v>15</v>
      </c>
      <c r="B11" s="11">
        <v>169100000</v>
      </c>
    </row>
    <row r="12" spans="1:2" x14ac:dyDescent="0.3">
      <c r="A12" s="6" t="s">
        <v>24</v>
      </c>
      <c r="B12" s="11">
        <v>212350000</v>
      </c>
    </row>
    <row r="13" spans="1:2" x14ac:dyDescent="0.3">
      <c r="A13" s="6" t="s">
        <v>45</v>
      </c>
      <c r="B13" s="11">
        <v>32650000</v>
      </c>
    </row>
    <row r="14" spans="1:2" x14ac:dyDescent="0.3">
      <c r="A14" s="6" t="s">
        <v>499</v>
      </c>
      <c r="B14" s="11">
        <v>414100000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0593-3C0F-4F61-A0C0-B786ED96912D}">
  <dimension ref="A1:U431"/>
  <sheetViews>
    <sheetView topLeftCell="A406" workbookViewId="0">
      <selection activeCell="G7" sqref="A1:P431"/>
    </sheetView>
  </sheetViews>
  <sheetFormatPr defaultRowHeight="14.4" x14ac:dyDescent="0.3"/>
  <cols>
    <col min="1" max="1" width="9.77734375" bestFit="1" customWidth="1"/>
    <col min="2" max="2" width="11.88671875" style="1" bestFit="1" customWidth="1"/>
    <col min="3" max="3" width="13.77734375" bestFit="1" customWidth="1"/>
    <col min="4" max="4" width="12.44140625" bestFit="1" customWidth="1"/>
    <col min="5" max="5" width="7.88671875" bestFit="1" customWidth="1"/>
    <col min="6" max="6" width="8.44140625" bestFit="1" customWidth="1"/>
    <col min="7" max="7" width="14.44140625" bestFit="1" customWidth="1"/>
    <col min="8" max="8" width="15.44140625" bestFit="1" customWidth="1"/>
    <col min="9" max="9" width="13.88671875" bestFit="1" customWidth="1"/>
    <col min="10" max="10" width="14.77734375" style="1" bestFit="1" customWidth="1"/>
    <col min="11" max="11" width="11.109375" bestFit="1" customWidth="1"/>
    <col min="12" max="12" width="15.21875" bestFit="1" customWidth="1"/>
    <col min="13" max="13" width="12.44140625" bestFit="1" customWidth="1"/>
    <col min="14" max="14" width="14.6640625" bestFit="1" customWidth="1"/>
    <col min="15" max="15" width="12" bestFit="1" customWidth="1"/>
    <col min="16" max="16" width="17.5546875" bestFit="1" customWidth="1"/>
    <col min="18" max="18" width="12.44140625" bestFit="1" customWidth="1"/>
    <col min="19" max="19" width="7.88671875" bestFit="1" customWidth="1"/>
    <col min="20" max="20" width="14.6640625" bestFit="1" customWidth="1"/>
    <col min="21" max="21" width="11.33203125" bestFit="1" customWidth="1"/>
    <col min="24" max="24" width="14.6640625" bestFit="1" customWidth="1"/>
    <col min="25" max="25" width="11.33203125" bestFit="1" customWidth="1"/>
    <col min="26" max="26" width="17.5546875" bestFit="1" customWidth="1"/>
  </cols>
  <sheetData>
    <row r="1" spans="1:21" x14ac:dyDescent="0.3">
      <c r="A1" t="s">
        <v>0</v>
      </c>
      <c r="B1" s="1" t="s">
        <v>1</v>
      </c>
      <c r="C1" t="s">
        <v>2</v>
      </c>
      <c r="D1" t="s">
        <v>3</v>
      </c>
      <c r="E1" t="s">
        <v>4</v>
      </c>
      <c r="F1" t="s">
        <v>5</v>
      </c>
      <c r="G1" t="s">
        <v>6</v>
      </c>
      <c r="H1" t="s">
        <v>7</v>
      </c>
      <c r="I1" t="s">
        <v>8</v>
      </c>
      <c r="J1" s="1" t="s">
        <v>9</v>
      </c>
      <c r="K1" t="s">
        <v>10</v>
      </c>
      <c r="L1" t="s">
        <v>11</v>
      </c>
      <c r="M1" t="s">
        <v>477</v>
      </c>
      <c r="N1" t="s">
        <v>478</v>
      </c>
      <c r="O1" t="s">
        <v>479</v>
      </c>
      <c r="P1" t="s">
        <v>483</v>
      </c>
      <c r="R1" t="s">
        <v>3</v>
      </c>
      <c r="S1" t="s">
        <v>4</v>
      </c>
      <c r="T1" t="s">
        <v>478</v>
      </c>
      <c r="U1" t="s">
        <v>479</v>
      </c>
    </row>
    <row r="2" spans="1:21" x14ac:dyDescent="0.3">
      <c r="A2" t="s">
        <v>12</v>
      </c>
      <c r="B2" s="1">
        <v>45575</v>
      </c>
      <c r="C2" t="s">
        <v>13</v>
      </c>
      <c r="D2" t="s">
        <v>14</v>
      </c>
      <c r="E2" t="s">
        <v>15</v>
      </c>
      <c r="F2" t="s">
        <v>16</v>
      </c>
      <c r="G2">
        <v>5900000</v>
      </c>
      <c r="H2">
        <v>0</v>
      </c>
      <c r="I2" t="s">
        <v>17</v>
      </c>
      <c r="J2" s="1">
        <v>46082</v>
      </c>
      <c r="K2">
        <v>8500000</v>
      </c>
      <c r="L2" t="s">
        <v>18</v>
      </c>
      <c r="M2">
        <v>0</v>
      </c>
      <c r="N2" t="s">
        <v>480</v>
      </c>
      <c r="O2">
        <v>2021</v>
      </c>
      <c r="P2" t="s">
        <v>476</v>
      </c>
      <c r="R2" t="s">
        <v>14</v>
      </c>
      <c r="S2" t="s">
        <v>15</v>
      </c>
      <c r="T2" t="s">
        <v>480</v>
      </c>
      <c r="U2">
        <v>2021</v>
      </c>
    </row>
    <row r="3" spans="1:21" x14ac:dyDescent="0.3">
      <c r="A3" t="s">
        <v>19</v>
      </c>
      <c r="B3" s="1">
        <v>45508</v>
      </c>
      <c r="C3" t="s">
        <v>13</v>
      </c>
      <c r="D3" t="s">
        <v>14</v>
      </c>
      <c r="E3" t="s">
        <v>15</v>
      </c>
      <c r="F3" t="s">
        <v>16</v>
      </c>
      <c r="G3">
        <v>4200000</v>
      </c>
      <c r="H3">
        <v>4200000</v>
      </c>
      <c r="I3" t="s">
        <v>20</v>
      </c>
      <c r="J3" s="1">
        <v>45768</v>
      </c>
      <c r="K3">
        <v>8500000</v>
      </c>
      <c r="L3" t="s">
        <v>476</v>
      </c>
      <c r="M3">
        <v>0</v>
      </c>
      <c r="N3" t="s">
        <v>480</v>
      </c>
      <c r="O3">
        <v>2021</v>
      </c>
      <c r="P3" t="s">
        <v>494</v>
      </c>
      <c r="R3" t="s">
        <v>23</v>
      </c>
      <c r="S3" t="s">
        <v>24</v>
      </c>
      <c r="T3" t="s">
        <v>481</v>
      </c>
      <c r="U3">
        <v>2022</v>
      </c>
    </row>
    <row r="4" spans="1:21" x14ac:dyDescent="0.3">
      <c r="A4" t="s">
        <v>21</v>
      </c>
      <c r="B4" s="1">
        <v>45387</v>
      </c>
      <c r="C4" t="s">
        <v>22</v>
      </c>
      <c r="D4" t="s">
        <v>23</v>
      </c>
      <c r="E4" t="s">
        <v>24</v>
      </c>
      <c r="F4" t="s">
        <v>25</v>
      </c>
      <c r="G4">
        <v>3500000</v>
      </c>
      <c r="H4">
        <v>900000</v>
      </c>
      <c r="I4" t="s">
        <v>26</v>
      </c>
      <c r="J4" s="1">
        <v>46086</v>
      </c>
      <c r="K4">
        <v>8000000</v>
      </c>
      <c r="L4" t="s">
        <v>476</v>
      </c>
      <c r="M4">
        <v>724</v>
      </c>
      <c r="N4" t="s">
        <v>481</v>
      </c>
      <c r="O4">
        <v>2022</v>
      </c>
      <c r="P4" t="s">
        <v>495</v>
      </c>
      <c r="R4" t="s">
        <v>44</v>
      </c>
      <c r="S4" t="s">
        <v>45</v>
      </c>
      <c r="T4" t="s">
        <v>482</v>
      </c>
      <c r="U4">
        <v>2023</v>
      </c>
    </row>
    <row r="5" spans="1:21" x14ac:dyDescent="0.3">
      <c r="A5" t="s">
        <v>27</v>
      </c>
      <c r="B5" s="1">
        <v>45302</v>
      </c>
      <c r="C5" t="s">
        <v>28</v>
      </c>
      <c r="D5" t="s">
        <v>14</v>
      </c>
      <c r="E5" t="s">
        <v>15</v>
      </c>
      <c r="F5" t="s">
        <v>16</v>
      </c>
      <c r="G5">
        <v>5400000</v>
      </c>
      <c r="H5">
        <v>5400000</v>
      </c>
      <c r="I5" t="s">
        <v>20</v>
      </c>
      <c r="J5" s="1">
        <v>46059</v>
      </c>
      <c r="K5">
        <v>7000000</v>
      </c>
      <c r="L5" t="s">
        <v>29</v>
      </c>
      <c r="M5">
        <v>0</v>
      </c>
      <c r="N5" t="s">
        <v>480</v>
      </c>
      <c r="O5">
        <v>2021</v>
      </c>
      <c r="P5" t="s">
        <v>494</v>
      </c>
    </row>
    <row r="6" spans="1:21" x14ac:dyDescent="0.3">
      <c r="A6" t="s">
        <v>30</v>
      </c>
      <c r="B6" s="1">
        <v>45555</v>
      </c>
      <c r="C6" t="s">
        <v>31</v>
      </c>
      <c r="D6" t="s">
        <v>23</v>
      </c>
      <c r="E6" t="s">
        <v>24</v>
      </c>
      <c r="F6" t="s">
        <v>16</v>
      </c>
      <c r="G6">
        <v>5150000</v>
      </c>
      <c r="H6">
        <v>5150000</v>
      </c>
      <c r="I6" t="s">
        <v>20</v>
      </c>
      <c r="J6" s="1">
        <v>46319</v>
      </c>
      <c r="K6">
        <v>7500000</v>
      </c>
      <c r="L6" t="s">
        <v>476</v>
      </c>
      <c r="M6">
        <v>0</v>
      </c>
      <c r="N6" t="s">
        <v>481</v>
      </c>
      <c r="O6">
        <v>2022</v>
      </c>
      <c r="P6" t="s">
        <v>494</v>
      </c>
    </row>
    <row r="7" spans="1:21" x14ac:dyDescent="0.3">
      <c r="A7" t="s">
        <v>32</v>
      </c>
      <c r="B7" s="1">
        <v>45485</v>
      </c>
      <c r="C7" t="s">
        <v>13</v>
      </c>
      <c r="D7" t="s">
        <v>14</v>
      </c>
      <c r="E7" t="s">
        <v>15</v>
      </c>
      <c r="F7" t="s">
        <v>33</v>
      </c>
      <c r="G7">
        <v>7950000</v>
      </c>
      <c r="H7">
        <v>7950000</v>
      </c>
      <c r="I7" t="s">
        <v>20</v>
      </c>
      <c r="J7" s="1">
        <v>45847</v>
      </c>
      <c r="K7">
        <v>8500000</v>
      </c>
      <c r="L7" t="s">
        <v>476</v>
      </c>
      <c r="M7">
        <v>0</v>
      </c>
      <c r="N7" t="s">
        <v>480</v>
      </c>
      <c r="O7">
        <v>2021</v>
      </c>
      <c r="P7" t="s">
        <v>494</v>
      </c>
    </row>
    <row r="8" spans="1:21" x14ac:dyDescent="0.3">
      <c r="A8" t="s">
        <v>34</v>
      </c>
      <c r="B8" s="1">
        <v>45519</v>
      </c>
      <c r="C8" t="s">
        <v>35</v>
      </c>
      <c r="D8" t="s">
        <v>14</v>
      </c>
      <c r="E8" t="s">
        <v>15</v>
      </c>
      <c r="F8" t="s">
        <v>16</v>
      </c>
      <c r="G8">
        <v>4200000</v>
      </c>
      <c r="H8">
        <v>4200000</v>
      </c>
      <c r="I8" t="s">
        <v>20</v>
      </c>
      <c r="J8" s="1">
        <v>46140</v>
      </c>
      <c r="K8">
        <v>9000000</v>
      </c>
      <c r="L8" t="s">
        <v>476</v>
      </c>
      <c r="M8">
        <v>0</v>
      </c>
      <c r="N8" t="s">
        <v>480</v>
      </c>
      <c r="O8">
        <v>2021</v>
      </c>
      <c r="P8" t="s">
        <v>494</v>
      </c>
    </row>
    <row r="9" spans="1:21" x14ac:dyDescent="0.3">
      <c r="A9" t="s">
        <v>36</v>
      </c>
      <c r="B9" s="1">
        <v>45515</v>
      </c>
      <c r="C9" t="s">
        <v>13</v>
      </c>
      <c r="D9" t="s">
        <v>23</v>
      </c>
      <c r="E9" t="s">
        <v>24</v>
      </c>
      <c r="F9" t="s">
        <v>16</v>
      </c>
      <c r="G9">
        <v>4400000</v>
      </c>
      <c r="H9">
        <v>1350000</v>
      </c>
      <c r="I9" t="s">
        <v>26</v>
      </c>
      <c r="J9" s="1">
        <v>46071</v>
      </c>
      <c r="K9">
        <v>8500000</v>
      </c>
      <c r="L9" t="s">
        <v>476</v>
      </c>
      <c r="M9">
        <v>596</v>
      </c>
      <c r="N9" t="s">
        <v>481</v>
      </c>
      <c r="O9">
        <v>2022</v>
      </c>
      <c r="P9" t="s">
        <v>495</v>
      </c>
    </row>
    <row r="10" spans="1:21" x14ac:dyDescent="0.3">
      <c r="A10" t="s">
        <v>37</v>
      </c>
      <c r="B10" s="1">
        <v>45544</v>
      </c>
      <c r="C10" t="s">
        <v>31</v>
      </c>
      <c r="D10" t="s">
        <v>23</v>
      </c>
      <c r="E10" t="s">
        <v>24</v>
      </c>
      <c r="F10" t="s">
        <v>16</v>
      </c>
      <c r="G10">
        <v>4900000</v>
      </c>
      <c r="H10">
        <v>4900000</v>
      </c>
      <c r="I10" t="s">
        <v>20</v>
      </c>
      <c r="J10" s="1">
        <v>46219</v>
      </c>
      <c r="K10">
        <v>7500000</v>
      </c>
      <c r="L10" t="s">
        <v>38</v>
      </c>
      <c r="M10">
        <v>0</v>
      </c>
      <c r="N10" t="s">
        <v>481</v>
      </c>
      <c r="O10">
        <v>2022</v>
      </c>
      <c r="P10" t="s">
        <v>494</v>
      </c>
    </row>
    <row r="11" spans="1:21" x14ac:dyDescent="0.3">
      <c r="A11" t="s">
        <v>39</v>
      </c>
      <c r="B11" s="1">
        <v>45462</v>
      </c>
      <c r="C11" t="s">
        <v>31</v>
      </c>
      <c r="D11" t="s">
        <v>14</v>
      </c>
      <c r="E11" t="s">
        <v>15</v>
      </c>
      <c r="F11" t="s">
        <v>33</v>
      </c>
      <c r="G11">
        <v>8650000</v>
      </c>
      <c r="H11">
        <v>8650000</v>
      </c>
      <c r="I11" t="s">
        <v>20</v>
      </c>
      <c r="J11" s="1">
        <v>45999</v>
      </c>
      <c r="K11">
        <v>7500000</v>
      </c>
      <c r="L11" t="s">
        <v>40</v>
      </c>
      <c r="M11">
        <v>0</v>
      </c>
      <c r="N11" t="s">
        <v>480</v>
      </c>
      <c r="O11">
        <v>2021</v>
      </c>
      <c r="P11" t="s">
        <v>494</v>
      </c>
    </row>
    <row r="12" spans="1:21" x14ac:dyDescent="0.3">
      <c r="A12" t="s">
        <v>41</v>
      </c>
      <c r="B12" s="1">
        <v>45529</v>
      </c>
      <c r="C12" t="s">
        <v>35</v>
      </c>
      <c r="D12" t="s">
        <v>14</v>
      </c>
      <c r="E12" t="s">
        <v>15</v>
      </c>
      <c r="F12" t="s">
        <v>16</v>
      </c>
      <c r="G12">
        <v>5700000</v>
      </c>
      <c r="H12">
        <v>0</v>
      </c>
      <c r="I12" t="s">
        <v>17</v>
      </c>
      <c r="J12" s="1">
        <v>46020</v>
      </c>
      <c r="K12">
        <v>9000000</v>
      </c>
      <c r="L12" t="s">
        <v>42</v>
      </c>
      <c r="M12">
        <v>0</v>
      </c>
      <c r="N12" t="s">
        <v>480</v>
      </c>
      <c r="O12">
        <v>2021</v>
      </c>
      <c r="P12" t="s">
        <v>476</v>
      </c>
    </row>
    <row r="13" spans="1:21" x14ac:dyDescent="0.3">
      <c r="A13" t="s">
        <v>43</v>
      </c>
      <c r="B13" s="1">
        <v>45524</v>
      </c>
      <c r="C13" t="s">
        <v>35</v>
      </c>
      <c r="D13" t="s">
        <v>44</v>
      </c>
      <c r="E13" t="s">
        <v>45</v>
      </c>
      <c r="F13" t="s">
        <v>16</v>
      </c>
      <c r="G13">
        <v>5250000</v>
      </c>
      <c r="H13">
        <v>1800000</v>
      </c>
      <c r="I13" t="s">
        <v>26</v>
      </c>
      <c r="J13" s="1">
        <v>46084</v>
      </c>
      <c r="K13">
        <v>9000000</v>
      </c>
      <c r="L13" t="s">
        <v>38</v>
      </c>
      <c r="M13">
        <v>587</v>
      </c>
      <c r="N13" t="s">
        <v>482</v>
      </c>
      <c r="O13">
        <v>2023</v>
      </c>
      <c r="P13" t="s">
        <v>495</v>
      </c>
    </row>
    <row r="14" spans="1:21" x14ac:dyDescent="0.3">
      <c r="A14" t="s">
        <v>46</v>
      </c>
      <c r="B14" s="1">
        <v>45471</v>
      </c>
      <c r="C14" t="s">
        <v>13</v>
      </c>
      <c r="D14" t="s">
        <v>23</v>
      </c>
      <c r="E14" t="s">
        <v>24</v>
      </c>
      <c r="F14" t="s">
        <v>33</v>
      </c>
      <c r="G14">
        <v>8300000</v>
      </c>
      <c r="H14">
        <v>8300000</v>
      </c>
      <c r="I14" t="s">
        <v>20</v>
      </c>
      <c r="J14" s="1">
        <v>46305</v>
      </c>
      <c r="K14">
        <v>8500000</v>
      </c>
      <c r="L14" t="s">
        <v>42</v>
      </c>
      <c r="M14">
        <v>0</v>
      </c>
      <c r="N14" t="s">
        <v>481</v>
      </c>
      <c r="O14">
        <v>2022</v>
      </c>
      <c r="P14" t="s">
        <v>494</v>
      </c>
    </row>
    <row r="15" spans="1:21" x14ac:dyDescent="0.3">
      <c r="A15" t="s">
        <v>47</v>
      </c>
      <c r="B15" s="1">
        <v>45428</v>
      </c>
      <c r="C15" t="s">
        <v>28</v>
      </c>
      <c r="D15" t="s">
        <v>44</v>
      </c>
      <c r="E15" t="s">
        <v>45</v>
      </c>
      <c r="F15" t="s">
        <v>25</v>
      </c>
      <c r="G15">
        <v>3300000</v>
      </c>
      <c r="H15">
        <v>3300000</v>
      </c>
      <c r="I15" t="s">
        <v>20</v>
      </c>
      <c r="J15" s="1">
        <v>46197</v>
      </c>
      <c r="K15">
        <v>7000000</v>
      </c>
      <c r="L15" t="s">
        <v>476</v>
      </c>
      <c r="M15">
        <v>0</v>
      </c>
      <c r="N15" t="s">
        <v>482</v>
      </c>
      <c r="O15">
        <v>2023</v>
      </c>
      <c r="P15" t="s">
        <v>494</v>
      </c>
    </row>
    <row r="16" spans="1:21" x14ac:dyDescent="0.3">
      <c r="A16" t="s">
        <v>48</v>
      </c>
      <c r="B16" s="1">
        <v>45365</v>
      </c>
      <c r="C16" t="s">
        <v>35</v>
      </c>
      <c r="D16" t="s">
        <v>23</v>
      </c>
      <c r="E16" t="s">
        <v>24</v>
      </c>
      <c r="F16" t="s">
        <v>33</v>
      </c>
      <c r="G16">
        <v>8950000</v>
      </c>
      <c r="H16">
        <v>3300000</v>
      </c>
      <c r="I16" t="s">
        <v>26</v>
      </c>
      <c r="J16" s="1">
        <v>45953</v>
      </c>
      <c r="K16">
        <v>9000000</v>
      </c>
      <c r="L16" t="s">
        <v>40</v>
      </c>
      <c r="M16">
        <v>746</v>
      </c>
      <c r="N16" t="s">
        <v>481</v>
      </c>
      <c r="O16">
        <v>2022</v>
      </c>
      <c r="P16" t="s">
        <v>495</v>
      </c>
    </row>
    <row r="17" spans="1:16" x14ac:dyDescent="0.3">
      <c r="A17" t="s">
        <v>49</v>
      </c>
      <c r="B17" s="1">
        <v>45574</v>
      </c>
      <c r="C17" t="s">
        <v>13</v>
      </c>
      <c r="D17" t="s">
        <v>23</v>
      </c>
      <c r="E17" t="s">
        <v>24</v>
      </c>
      <c r="F17" t="s">
        <v>33</v>
      </c>
      <c r="G17">
        <v>7700000</v>
      </c>
      <c r="H17">
        <v>7700000</v>
      </c>
      <c r="I17" t="s">
        <v>20</v>
      </c>
      <c r="J17" s="1">
        <v>46268</v>
      </c>
      <c r="K17">
        <v>8500000</v>
      </c>
      <c r="L17" t="s">
        <v>476</v>
      </c>
      <c r="M17">
        <v>0</v>
      </c>
      <c r="N17" t="s">
        <v>481</v>
      </c>
      <c r="O17">
        <v>2022</v>
      </c>
      <c r="P17" t="s">
        <v>494</v>
      </c>
    </row>
    <row r="18" spans="1:16" x14ac:dyDescent="0.3">
      <c r="A18" t="s">
        <v>50</v>
      </c>
      <c r="B18" s="1">
        <v>45568</v>
      </c>
      <c r="C18" t="s">
        <v>28</v>
      </c>
      <c r="D18" t="s">
        <v>23</v>
      </c>
      <c r="E18" t="s">
        <v>24</v>
      </c>
      <c r="F18" t="s">
        <v>51</v>
      </c>
      <c r="G18">
        <v>10600000</v>
      </c>
      <c r="H18">
        <v>2250000</v>
      </c>
      <c r="I18" t="s">
        <v>26</v>
      </c>
      <c r="J18" s="1">
        <v>45914</v>
      </c>
      <c r="K18">
        <v>7000000</v>
      </c>
      <c r="L18" t="s">
        <v>52</v>
      </c>
      <c r="M18">
        <v>543</v>
      </c>
      <c r="N18" t="s">
        <v>481</v>
      </c>
      <c r="O18">
        <v>2022</v>
      </c>
      <c r="P18" t="s">
        <v>495</v>
      </c>
    </row>
    <row r="19" spans="1:16" x14ac:dyDescent="0.3">
      <c r="A19" t="s">
        <v>53</v>
      </c>
      <c r="B19" s="1">
        <v>45313</v>
      </c>
      <c r="C19" t="s">
        <v>13</v>
      </c>
      <c r="D19" t="s">
        <v>23</v>
      </c>
      <c r="E19" t="s">
        <v>24</v>
      </c>
      <c r="F19" t="s">
        <v>25</v>
      </c>
      <c r="G19">
        <v>3250000</v>
      </c>
      <c r="H19">
        <v>0</v>
      </c>
      <c r="I19" t="s">
        <v>17</v>
      </c>
      <c r="J19" s="1">
        <v>45746</v>
      </c>
      <c r="K19">
        <v>8500000</v>
      </c>
      <c r="L19" t="s">
        <v>18</v>
      </c>
      <c r="M19">
        <v>0</v>
      </c>
      <c r="N19" t="s">
        <v>481</v>
      </c>
      <c r="O19">
        <v>2022</v>
      </c>
      <c r="P19" t="s">
        <v>476</v>
      </c>
    </row>
    <row r="20" spans="1:16" x14ac:dyDescent="0.3">
      <c r="A20" t="s">
        <v>54</v>
      </c>
      <c r="B20" s="1">
        <v>45522</v>
      </c>
      <c r="C20" t="s">
        <v>28</v>
      </c>
      <c r="D20" t="s">
        <v>14</v>
      </c>
      <c r="E20" t="s">
        <v>15</v>
      </c>
      <c r="F20" t="s">
        <v>16</v>
      </c>
      <c r="G20">
        <v>4600000</v>
      </c>
      <c r="H20">
        <v>0</v>
      </c>
      <c r="I20" t="s">
        <v>17</v>
      </c>
      <c r="J20" s="1">
        <v>45991</v>
      </c>
      <c r="K20">
        <v>7000000</v>
      </c>
      <c r="L20" t="s">
        <v>476</v>
      </c>
      <c r="M20">
        <v>0</v>
      </c>
      <c r="N20" t="s">
        <v>480</v>
      </c>
      <c r="O20">
        <v>2021</v>
      </c>
      <c r="P20" t="s">
        <v>476</v>
      </c>
    </row>
    <row r="21" spans="1:16" x14ac:dyDescent="0.3">
      <c r="A21" t="s">
        <v>55</v>
      </c>
      <c r="B21" s="1">
        <v>45427</v>
      </c>
      <c r="C21" t="s">
        <v>13</v>
      </c>
      <c r="D21" t="s">
        <v>23</v>
      </c>
      <c r="E21" t="s">
        <v>24</v>
      </c>
      <c r="F21" t="s">
        <v>16</v>
      </c>
      <c r="G21">
        <v>4650000</v>
      </c>
      <c r="H21">
        <v>4650000</v>
      </c>
      <c r="I21" t="s">
        <v>20</v>
      </c>
      <c r="J21" s="1">
        <v>45616</v>
      </c>
      <c r="K21">
        <v>8500000</v>
      </c>
      <c r="L21" t="s">
        <v>476</v>
      </c>
      <c r="M21">
        <v>0</v>
      </c>
      <c r="N21" t="s">
        <v>481</v>
      </c>
      <c r="O21">
        <v>2022</v>
      </c>
      <c r="P21" t="s">
        <v>494</v>
      </c>
    </row>
    <row r="22" spans="1:16" x14ac:dyDescent="0.3">
      <c r="A22" t="s">
        <v>57</v>
      </c>
      <c r="B22" s="1">
        <v>45596</v>
      </c>
      <c r="C22" t="s">
        <v>22</v>
      </c>
      <c r="D22" t="s">
        <v>14</v>
      </c>
      <c r="E22" t="s">
        <v>15</v>
      </c>
      <c r="F22" t="s">
        <v>33</v>
      </c>
      <c r="G22">
        <v>8000000</v>
      </c>
      <c r="H22">
        <v>8000000</v>
      </c>
      <c r="I22" t="s">
        <v>20</v>
      </c>
      <c r="J22" s="1">
        <v>46438</v>
      </c>
      <c r="K22">
        <v>8000000</v>
      </c>
      <c r="L22" t="s">
        <v>42</v>
      </c>
      <c r="M22">
        <v>0</v>
      </c>
      <c r="N22" t="s">
        <v>480</v>
      </c>
      <c r="O22">
        <v>2021</v>
      </c>
      <c r="P22" t="s">
        <v>494</v>
      </c>
    </row>
    <row r="23" spans="1:16" x14ac:dyDescent="0.3">
      <c r="A23" t="s">
        <v>59</v>
      </c>
      <c r="B23" s="1">
        <v>45331</v>
      </c>
      <c r="C23" t="s">
        <v>28</v>
      </c>
      <c r="D23" t="s">
        <v>14</v>
      </c>
      <c r="E23" t="s">
        <v>15</v>
      </c>
      <c r="F23" t="s">
        <v>16</v>
      </c>
      <c r="G23">
        <v>4450000</v>
      </c>
      <c r="H23">
        <v>1750000</v>
      </c>
      <c r="I23" t="s">
        <v>26</v>
      </c>
      <c r="J23" s="1">
        <v>45921</v>
      </c>
      <c r="K23">
        <v>7000000</v>
      </c>
      <c r="L23" t="s">
        <v>38</v>
      </c>
      <c r="M23">
        <v>780</v>
      </c>
      <c r="N23" t="s">
        <v>480</v>
      </c>
      <c r="O23">
        <v>2021</v>
      </c>
      <c r="P23" t="s">
        <v>495</v>
      </c>
    </row>
    <row r="24" spans="1:16" x14ac:dyDescent="0.3">
      <c r="A24" t="s">
        <v>60</v>
      </c>
      <c r="B24" s="1">
        <v>45532</v>
      </c>
      <c r="C24" t="s">
        <v>13</v>
      </c>
      <c r="D24" t="s">
        <v>14</v>
      </c>
      <c r="E24" t="s">
        <v>15</v>
      </c>
      <c r="F24" t="s">
        <v>25</v>
      </c>
      <c r="G24">
        <v>2750000</v>
      </c>
      <c r="H24">
        <v>350000</v>
      </c>
      <c r="I24" t="s">
        <v>26</v>
      </c>
      <c r="J24" s="1">
        <v>45778</v>
      </c>
      <c r="K24">
        <v>8500000</v>
      </c>
      <c r="L24" t="s">
        <v>476</v>
      </c>
      <c r="M24">
        <v>579</v>
      </c>
      <c r="N24" t="s">
        <v>480</v>
      </c>
      <c r="O24">
        <v>2021</v>
      </c>
      <c r="P24" t="s">
        <v>495</v>
      </c>
    </row>
    <row r="25" spans="1:16" x14ac:dyDescent="0.3">
      <c r="A25" t="s">
        <v>61</v>
      </c>
      <c r="B25" s="1">
        <v>45378</v>
      </c>
      <c r="C25" t="s">
        <v>35</v>
      </c>
      <c r="D25" t="s">
        <v>23</v>
      </c>
      <c r="E25" t="s">
        <v>24</v>
      </c>
      <c r="F25" t="s">
        <v>16</v>
      </c>
      <c r="G25">
        <v>5200000</v>
      </c>
      <c r="H25">
        <v>5200000</v>
      </c>
      <c r="I25" t="s">
        <v>20</v>
      </c>
      <c r="J25" s="1">
        <v>46084</v>
      </c>
      <c r="K25">
        <v>9000000</v>
      </c>
      <c r="L25" t="s">
        <v>38</v>
      </c>
      <c r="M25">
        <v>0</v>
      </c>
      <c r="N25" t="s">
        <v>481</v>
      </c>
      <c r="O25">
        <v>2022</v>
      </c>
      <c r="P25" t="s">
        <v>494</v>
      </c>
    </row>
    <row r="26" spans="1:16" x14ac:dyDescent="0.3">
      <c r="A26" t="s">
        <v>62</v>
      </c>
      <c r="B26" s="1">
        <v>45619</v>
      </c>
      <c r="C26" t="s">
        <v>22</v>
      </c>
      <c r="D26" t="s">
        <v>23</v>
      </c>
      <c r="E26" t="s">
        <v>24</v>
      </c>
      <c r="F26" t="s">
        <v>16</v>
      </c>
      <c r="G26">
        <v>4450000</v>
      </c>
      <c r="H26">
        <v>4450000</v>
      </c>
      <c r="I26" t="s">
        <v>20</v>
      </c>
      <c r="J26" s="1">
        <v>45903</v>
      </c>
      <c r="K26">
        <v>8000000</v>
      </c>
      <c r="L26" t="s">
        <v>476</v>
      </c>
      <c r="M26">
        <v>0</v>
      </c>
      <c r="N26" t="s">
        <v>481</v>
      </c>
      <c r="O26">
        <v>2022</v>
      </c>
      <c r="P26" t="s">
        <v>494</v>
      </c>
    </row>
    <row r="27" spans="1:16" x14ac:dyDescent="0.3">
      <c r="A27" t="s">
        <v>63</v>
      </c>
      <c r="B27" s="1">
        <v>45550</v>
      </c>
      <c r="C27" t="s">
        <v>13</v>
      </c>
      <c r="D27" t="s">
        <v>23</v>
      </c>
      <c r="E27" t="s">
        <v>24</v>
      </c>
      <c r="F27" t="s">
        <v>51</v>
      </c>
      <c r="G27">
        <v>10500000</v>
      </c>
      <c r="H27">
        <v>10500000</v>
      </c>
      <c r="I27" t="s">
        <v>20</v>
      </c>
      <c r="J27" s="1">
        <v>45829</v>
      </c>
      <c r="K27">
        <v>8500000</v>
      </c>
      <c r="L27" t="s">
        <v>476</v>
      </c>
      <c r="M27">
        <v>0</v>
      </c>
      <c r="N27" t="s">
        <v>481</v>
      </c>
      <c r="O27">
        <v>2022</v>
      </c>
      <c r="P27" t="s">
        <v>494</v>
      </c>
    </row>
    <row r="28" spans="1:16" x14ac:dyDescent="0.3">
      <c r="A28" t="s">
        <v>64</v>
      </c>
      <c r="B28" s="1">
        <v>45296</v>
      </c>
      <c r="C28" t="s">
        <v>22</v>
      </c>
      <c r="D28" t="s">
        <v>14</v>
      </c>
      <c r="E28" t="s">
        <v>15</v>
      </c>
      <c r="F28" t="s">
        <v>33</v>
      </c>
      <c r="G28">
        <v>6650000</v>
      </c>
      <c r="H28">
        <v>6650000</v>
      </c>
      <c r="I28" t="s">
        <v>20</v>
      </c>
      <c r="J28" s="1">
        <v>46072</v>
      </c>
      <c r="K28">
        <v>8000000</v>
      </c>
      <c r="L28" t="s">
        <v>476</v>
      </c>
      <c r="M28">
        <v>0</v>
      </c>
      <c r="N28" t="s">
        <v>480</v>
      </c>
      <c r="O28">
        <v>2021</v>
      </c>
      <c r="P28" t="s">
        <v>494</v>
      </c>
    </row>
    <row r="29" spans="1:16" x14ac:dyDescent="0.3">
      <c r="A29" t="s">
        <v>65</v>
      </c>
      <c r="B29" s="1">
        <v>45572</v>
      </c>
      <c r="C29" t="s">
        <v>28</v>
      </c>
      <c r="D29" t="s">
        <v>23</v>
      </c>
      <c r="E29" t="s">
        <v>24</v>
      </c>
      <c r="F29" t="s">
        <v>51</v>
      </c>
      <c r="G29">
        <v>12400000</v>
      </c>
      <c r="H29">
        <v>0</v>
      </c>
      <c r="I29" t="s">
        <v>17</v>
      </c>
      <c r="J29" s="1">
        <v>45801</v>
      </c>
      <c r="K29">
        <v>7000000</v>
      </c>
      <c r="L29" t="s">
        <v>42</v>
      </c>
      <c r="M29">
        <v>0</v>
      </c>
      <c r="N29" t="s">
        <v>481</v>
      </c>
      <c r="O29">
        <v>2022</v>
      </c>
      <c r="P29" t="s">
        <v>476</v>
      </c>
    </row>
    <row r="30" spans="1:16" x14ac:dyDescent="0.3">
      <c r="A30" t="s">
        <v>67</v>
      </c>
      <c r="B30" s="1">
        <v>45496</v>
      </c>
      <c r="C30" t="s">
        <v>31</v>
      </c>
      <c r="D30" t="s">
        <v>44</v>
      </c>
      <c r="E30" t="s">
        <v>45</v>
      </c>
      <c r="F30" t="s">
        <v>33</v>
      </c>
      <c r="G30">
        <v>6950000</v>
      </c>
      <c r="H30">
        <v>6950000</v>
      </c>
      <c r="I30" t="s">
        <v>20</v>
      </c>
      <c r="J30" s="1">
        <v>45923</v>
      </c>
      <c r="K30">
        <v>7500000</v>
      </c>
      <c r="L30" t="s">
        <v>476</v>
      </c>
      <c r="M30">
        <v>0</v>
      </c>
      <c r="N30" t="s">
        <v>482</v>
      </c>
      <c r="O30">
        <v>2023</v>
      </c>
      <c r="P30" t="s">
        <v>494</v>
      </c>
    </row>
    <row r="31" spans="1:16" x14ac:dyDescent="0.3">
      <c r="A31" t="s">
        <v>68</v>
      </c>
      <c r="B31" s="1">
        <v>45394</v>
      </c>
      <c r="C31" t="s">
        <v>22</v>
      </c>
      <c r="D31" t="s">
        <v>14</v>
      </c>
      <c r="E31" t="s">
        <v>15</v>
      </c>
      <c r="F31" t="s">
        <v>33</v>
      </c>
      <c r="G31">
        <v>7700000</v>
      </c>
      <c r="H31">
        <v>7700000</v>
      </c>
      <c r="I31" t="s">
        <v>20</v>
      </c>
      <c r="J31" s="1">
        <v>46058</v>
      </c>
      <c r="K31">
        <v>8000000</v>
      </c>
      <c r="L31" t="s">
        <v>38</v>
      </c>
      <c r="M31">
        <v>0</v>
      </c>
      <c r="N31" t="s">
        <v>480</v>
      </c>
      <c r="O31">
        <v>2021</v>
      </c>
      <c r="P31" t="s">
        <v>494</v>
      </c>
    </row>
    <row r="32" spans="1:16" x14ac:dyDescent="0.3">
      <c r="A32" t="s">
        <v>69</v>
      </c>
      <c r="B32" s="1">
        <v>45305</v>
      </c>
      <c r="C32" t="s">
        <v>28</v>
      </c>
      <c r="D32" t="s">
        <v>44</v>
      </c>
      <c r="E32" t="s">
        <v>45</v>
      </c>
      <c r="F32" t="s">
        <v>16</v>
      </c>
      <c r="G32">
        <v>4050000</v>
      </c>
      <c r="H32">
        <v>4050000</v>
      </c>
      <c r="I32" t="s">
        <v>20</v>
      </c>
      <c r="J32" s="1">
        <v>45764</v>
      </c>
      <c r="K32">
        <v>7000000</v>
      </c>
      <c r="L32" t="s">
        <v>18</v>
      </c>
      <c r="M32">
        <v>0</v>
      </c>
      <c r="N32" t="s">
        <v>482</v>
      </c>
      <c r="O32">
        <v>2023</v>
      </c>
      <c r="P32" t="s">
        <v>494</v>
      </c>
    </row>
    <row r="33" spans="1:16" x14ac:dyDescent="0.3">
      <c r="A33" t="s">
        <v>70</v>
      </c>
      <c r="B33" s="1">
        <v>45655</v>
      </c>
      <c r="C33" t="s">
        <v>31</v>
      </c>
      <c r="D33" t="s">
        <v>14</v>
      </c>
      <c r="E33" t="s">
        <v>15</v>
      </c>
      <c r="F33" t="s">
        <v>33</v>
      </c>
      <c r="G33">
        <v>8200000</v>
      </c>
      <c r="H33">
        <v>8200000</v>
      </c>
      <c r="I33" t="s">
        <v>20</v>
      </c>
      <c r="J33" s="1">
        <v>46065</v>
      </c>
      <c r="K33">
        <v>7500000</v>
      </c>
      <c r="L33" t="s">
        <v>38</v>
      </c>
      <c r="M33">
        <v>0</v>
      </c>
      <c r="N33" t="s">
        <v>480</v>
      </c>
      <c r="O33">
        <v>2021</v>
      </c>
      <c r="P33" t="s">
        <v>494</v>
      </c>
    </row>
    <row r="34" spans="1:16" x14ac:dyDescent="0.3">
      <c r="A34" t="s">
        <v>71</v>
      </c>
      <c r="B34" s="1">
        <v>45479</v>
      </c>
      <c r="C34" t="s">
        <v>22</v>
      </c>
      <c r="D34" t="s">
        <v>14</v>
      </c>
      <c r="E34" t="s">
        <v>15</v>
      </c>
      <c r="F34" t="s">
        <v>16</v>
      </c>
      <c r="G34">
        <v>5150000</v>
      </c>
      <c r="H34">
        <v>5150000</v>
      </c>
      <c r="I34" t="s">
        <v>20</v>
      </c>
      <c r="J34" s="1">
        <v>45734</v>
      </c>
      <c r="K34">
        <v>8000000</v>
      </c>
      <c r="L34" t="s">
        <v>476</v>
      </c>
      <c r="M34">
        <v>0</v>
      </c>
      <c r="N34" t="s">
        <v>480</v>
      </c>
      <c r="O34">
        <v>2021</v>
      </c>
      <c r="P34" t="s">
        <v>494</v>
      </c>
    </row>
    <row r="35" spans="1:16" x14ac:dyDescent="0.3">
      <c r="A35" t="s">
        <v>72</v>
      </c>
      <c r="B35" s="1">
        <v>45445</v>
      </c>
      <c r="C35" t="s">
        <v>31</v>
      </c>
      <c r="D35" t="s">
        <v>23</v>
      </c>
      <c r="E35" t="s">
        <v>24</v>
      </c>
      <c r="F35" t="s">
        <v>33</v>
      </c>
      <c r="G35">
        <v>8750000</v>
      </c>
      <c r="H35">
        <v>8750000</v>
      </c>
      <c r="I35" t="s">
        <v>20</v>
      </c>
      <c r="J35" s="1">
        <v>46018</v>
      </c>
      <c r="K35">
        <v>7500000</v>
      </c>
      <c r="L35" t="s">
        <v>52</v>
      </c>
      <c r="M35">
        <v>0</v>
      </c>
      <c r="N35" t="s">
        <v>481</v>
      </c>
      <c r="O35">
        <v>2022</v>
      </c>
      <c r="P35" t="s">
        <v>494</v>
      </c>
    </row>
    <row r="36" spans="1:16" x14ac:dyDescent="0.3">
      <c r="A36" t="s">
        <v>73</v>
      </c>
      <c r="B36" s="1">
        <v>45472</v>
      </c>
      <c r="C36" t="s">
        <v>22</v>
      </c>
      <c r="D36" t="s">
        <v>14</v>
      </c>
      <c r="E36" t="s">
        <v>15</v>
      </c>
      <c r="F36" t="s">
        <v>16</v>
      </c>
      <c r="G36">
        <v>5400000</v>
      </c>
      <c r="H36">
        <v>900000</v>
      </c>
      <c r="I36" t="s">
        <v>26</v>
      </c>
      <c r="J36" s="1">
        <v>45762</v>
      </c>
      <c r="K36">
        <v>8000000</v>
      </c>
      <c r="L36" t="s">
        <v>40</v>
      </c>
      <c r="M36">
        <v>639</v>
      </c>
      <c r="N36" t="s">
        <v>480</v>
      </c>
      <c r="O36">
        <v>2021</v>
      </c>
      <c r="P36" t="s">
        <v>495</v>
      </c>
    </row>
    <row r="37" spans="1:16" x14ac:dyDescent="0.3">
      <c r="A37" t="s">
        <v>74</v>
      </c>
      <c r="B37" s="1">
        <v>45522</v>
      </c>
      <c r="C37" t="s">
        <v>35</v>
      </c>
      <c r="D37" t="s">
        <v>14</v>
      </c>
      <c r="E37" t="s">
        <v>15</v>
      </c>
      <c r="F37" t="s">
        <v>25</v>
      </c>
      <c r="G37">
        <v>2800000</v>
      </c>
      <c r="H37">
        <v>850000</v>
      </c>
      <c r="I37" t="s">
        <v>26</v>
      </c>
      <c r="J37" s="1">
        <v>46319</v>
      </c>
      <c r="K37">
        <v>9000000</v>
      </c>
      <c r="L37" t="s">
        <v>42</v>
      </c>
      <c r="M37">
        <v>589</v>
      </c>
      <c r="N37" t="s">
        <v>480</v>
      </c>
      <c r="O37">
        <v>2021</v>
      </c>
      <c r="P37" t="s">
        <v>495</v>
      </c>
    </row>
    <row r="38" spans="1:16" x14ac:dyDescent="0.3">
      <c r="A38" t="s">
        <v>75</v>
      </c>
      <c r="B38" s="1">
        <v>45502</v>
      </c>
      <c r="C38" t="s">
        <v>35</v>
      </c>
      <c r="D38" t="s">
        <v>23</v>
      </c>
      <c r="E38" t="s">
        <v>24</v>
      </c>
      <c r="F38" t="s">
        <v>51</v>
      </c>
      <c r="G38">
        <v>9950000</v>
      </c>
      <c r="H38">
        <v>9950000</v>
      </c>
      <c r="I38" t="s">
        <v>20</v>
      </c>
      <c r="J38" s="1">
        <v>46296</v>
      </c>
      <c r="K38">
        <v>9000000</v>
      </c>
      <c r="L38" t="s">
        <v>18</v>
      </c>
      <c r="M38">
        <v>0</v>
      </c>
      <c r="N38" t="s">
        <v>481</v>
      </c>
      <c r="O38">
        <v>2022</v>
      </c>
      <c r="P38" t="s">
        <v>494</v>
      </c>
    </row>
    <row r="39" spans="1:16" x14ac:dyDescent="0.3">
      <c r="A39" t="s">
        <v>76</v>
      </c>
      <c r="B39" s="1">
        <v>45409</v>
      </c>
      <c r="C39" t="s">
        <v>13</v>
      </c>
      <c r="D39" t="s">
        <v>14</v>
      </c>
      <c r="E39" t="s">
        <v>15</v>
      </c>
      <c r="F39" t="s">
        <v>25</v>
      </c>
      <c r="G39">
        <v>2850000</v>
      </c>
      <c r="H39">
        <v>2850000</v>
      </c>
      <c r="I39" t="s">
        <v>20</v>
      </c>
      <c r="J39" s="1">
        <v>45895</v>
      </c>
      <c r="K39">
        <v>8500000</v>
      </c>
      <c r="L39" t="s">
        <v>52</v>
      </c>
      <c r="M39">
        <v>0</v>
      </c>
      <c r="N39" t="s">
        <v>480</v>
      </c>
      <c r="O39">
        <v>2021</v>
      </c>
      <c r="P39" t="s">
        <v>494</v>
      </c>
    </row>
    <row r="40" spans="1:16" x14ac:dyDescent="0.3">
      <c r="A40" t="s">
        <v>77</v>
      </c>
      <c r="B40" s="1">
        <v>45518</v>
      </c>
      <c r="C40" t="s">
        <v>13</v>
      </c>
      <c r="D40" t="s">
        <v>23</v>
      </c>
      <c r="E40" t="s">
        <v>24</v>
      </c>
      <c r="F40" t="s">
        <v>16</v>
      </c>
      <c r="G40">
        <v>4550000</v>
      </c>
      <c r="H40">
        <v>4550000</v>
      </c>
      <c r="I40" t="s">
        <v>20</v>
      </c>
      <c r="J40" s="1">
        <v>46222</v>
      </c>
      <c r="K40">
        <v>8500000</v>
      </c>
      <c r="L40" t="s">
        <v>38</v>
      </c>
      <c r="M40">
        <v>0</v>
      </c>
      <c r="N40" t="s">
        <v>481</v>
      </c>
      <c r="O40">
        <v>2022</v>
      </c>
      <c r="P40" t="s">
        <v>494</v>
      </c>
    </row>
    <row r="41" spans="1:16" x14ac:dyDescent="0.3">
      <c r="A41" t="s">
        <v>78</v>
      </c>
      <c r="B41" s="1">
        <v>45356</v>
      </c>
      <c r="C41" t="s">
        <v>28</v>
      </c>
      <c r="D41" t="s">
        <v>14</v>
      </c>
      <c r="E41" t="s">
        <v>15</v>
      </c>
      <c r="F41" t="s">
        <v>33</v>
      </c>
      <c r="G41">
        <v>7400000</v>
      </c>
      <c r="H41">
        <v>7400000</v>
      </c>
      <c r="I41" t="s">
        <v>20</v>
      </c>
      <c r="J41" s="1">
        <v>45872</v>
      </c>
      <c r="K41">
        <v>7000000</v>
      </c>
      <c r="L41" t="s">
        <v>52</v>
      </c>
      <c r="M41">
        <v>0</v>
      </c>
      <c r="N41" t="s">
        <v>480</v>
      </c>
      <c r="O41">
        <v>2021</v>
      </c>
      <c r="P41" t="s">
        <v>494</v>
      </c>
    </row>
    <row r="42" spans="1:16" x14ac:dyDescent="0.3">
      <c r="A42" t="s">
        <v>79</v>
      </c>
      <c r="B42" s="1">
        <v>45509</v>
      </c>
      <c r="C42" t="s">
        <v>31</v>
      </c>
      <c r="D42" t="s">
        <v>23</v>
      </c>
      <c r="E42" t="s">
        <v>24</v>
      </c>
      <c r="F42" t="s">
        <v>25</v>
      </c>
      <c r="G42">
        <v>3100000</v>
      </c>
      <c r="H42">
        <v>3100000</v>
      </c>
      <c r="I42" t="s">
        <v>20</v>
      </c>
      <c r="J42" s="1">
        <v>45813</v>
      </c>
      <c r="K42">
        <v>7500000</v>
      </c>
      <c r="L42" t="s">
        <v>476</v>
      </c>
      <c r="M42">
        <v>0</v>
      </c>
      <c r="N42" t="s">
        <v>481</v>
      </c>
      <c r="O42">
        <v>2022</v>
      </c>
      <c r="P42" t="s">
        <v>494</v>
      </c>
    </row>
    <row r="43" spans="1:16" x14ac:dyDescent="0.3">
      <c r="A43" t="s">
        <v>80</v>
      </c>
      <c r="B43" s="1">
        <v>45331</v>
      </c>
      <c r="C43" t="s">
        <v>22</v>
      </c>
      <c r="D43" t="s">
        <v>23</v>
      </c>
      <c r="E43" t="s">
        <v>24</v>
      </c>
      <c r="F43" t="s">
        <v>16</v>
      </c>
      <c r="G43">
        <v>5200000</v>
      </c>
      <c r="H43">
        <v>2000000</v>
      </c>
      <c r="I43" t="s">
        <v>26</v>
      </c>
      <c r="J43" s="1">
        <v>45553</v>
      </c>
      <c r="K43">
        <v>8000000</v>
      </c>
      <c r="L43" t="s">
        <v>476</v>
      </c>
      <c r="M43">
        <v>780</v>
      </c>
      <c r="N43" t="s">
        <v>481</v>
      </c>
      <c r="O43">
        <v>2022</v>
      </c>
      <c r="P43" t="s">
        <v>495</v>
      </c>
    </row>
    <row r="44" spans="1:16" x14ac:dyDescent="0.3">
      <c r="A44" t="s">
        <v>81</v>
      </c>
      <c r="B44" s="1">
        <v>45404</v>
      </c>
      <c r="C44" t="s">
        <v>31</v>
      </c>
      <c r="D44" t="s">
        <v>14</v>
      </c>
      <c r="E44" t="s">
        <v>15</v>
      </c>
      <c r="F44" t="s">
        <v>51</v>
      </c>
      <c r="G44">
        <v>9900000</v>
      </c>
      <c r="H44">
        <v>9900000</v>
      </c>
      <c r="I44" t="s">
        <v>20</v>
      </c>
      <c r="J44" s="1">
        <v>45740</v>
      </c>
      <c r="K44">
        <v>7500000</v>
      </c>
      <c r="L44" t="s">
        <v>52</v>
      </c>
      <c r="M44">
        <v>0</v>
      </c>
      <c r="N44" t="s">
        <v>480</v>
      </c>
      <c r="O44">
        <v>2021</v>
      </c>
      <c r="P44" t="s">
        <v>494</v>
      </c>
    </row>
    <row r="45" spans="1:16" x14ac:dyDescent="0.3">
      <c r="A45" t="s">
        <v>82</v>
      </c>
      <c r="B45" s="1">
        <v>45317</v>
      </c>
      <c r="C45" t="s">
        <v>28</v>
      </c>
      <c r="D45" t="s">
        <v>14</v>
      </c>
      <c r="E45" t="s">
        <v>15</v>
      </c>
      <c r="F45" t="s">
        <v>25</v>
      </c>
      <c r="G45">
        <v>3050000</v>
      </c>
      <c r="H45">
        <v>3050000</v>
      </c>
      <c r="I45" t="s">
        <v>20</v>
      </c>
      <c r="J45" s="1">
        <v>45687</v>
      </c>
      <c r="K45">
        <v>7000000</v>
      </c>
      <c r="L45" t="s">
        <v>38</v>
      </c>
      <c r="M45">
        <v>0</v>
      </c>
      <c r="N45" t="s">
        <v>480</v>
      </c>
      <c r="O45">
        <v>2021</v>
      </c>
      <c r="P45" t="s">
        <v>494</v>
      </c>
    </row>
    <row r="46" spans="1:16" x14ac:dyDescent="0.3">
      <c r="A46" t="s">
        <v>83</v>
      </c>
      <c r="B46" s="1">
        <v>45557</v>
      </c>
      <c r="C46" t="s">
        <v>13</v>
      </c>
      <c r="D46" t="s">
        <v>14</v>
      </c>
      <c r="E46" t="s">
        <v>15</v>
      </c>
      <c r="F46" t="s">
        <v>33</v>
      </c>
      <c r="G46">
        <v>8350000</v>
      </c>
      <c r="H46">
        <v>0</v>
      </c>
      <c r="I46" t="s">
        <v>17</v>
      </c>
      <c r="J46" s="1">
        <v>46240</v>
      </c>
      <c r="K46">
        <v>8500000</v>
      </c>
      <c r="L46" t="s">
        <v>38</v>
      </c>
      <c r="M46">
        <v>0</v>
      </c>
      <c r="N46" t="s">
        <v>480</v>
      </c>
      <c r="O46">
        <v>2021</v>
      </c>
      <c r="P46" t="s">
        <v>476</v>
      </c>
    </row>
    <row r="47" spans="1:16" x14ac:dyDescent="0.3">
      <c r="A47" t="s">
        <v>84</v>
      </c>
      <c r="B47" s="1">
        <v>45460</v>
      </c>
      <c r="C47" t="s">
        <v>35</v>
      </c>
      <c r="D47" t="s">
        <v>23</v>
      </c>
      <c r="E47" t="s">
        <v>24</v>
      </c>
      <c r="F47" t="s">
        <v>16</v>
      </c>
      <c r="G47">
        <v>5350000</v>
      </c>
      <c r="H47">
        <v>1200000</v>
      </c>
      <c r="I47" t="s">
        <v>26</v>
      </c>
      <c r="J47" s="1">
        <v>46189</v>
      </c>
      <c r="K47">
        <v>9000000</v>
      </c>
      <c r="L47" t="s">
        <v>40</v>
      </c>
      <c r="M47">
        <v>651</v>
      </c>
      <c r="N47" t="s">
        <v>481</v>
      </c>
      <c r="O47">
        <v>2022</v>
      </c>
      <c r="P47" t="s">
        <v>495</v>
      </c>
    </row>
    <row r="48" spans="1:16" x14ac:dyDescent="0.3">
      <c r="A48" t="s">
        <v>85</v>
      </c>
      <c r="B48" s="1">
        <v>45437</v>
      </c>
      <c r="C48" t="s">
        <v>22</v>
      </c>
      <c r="D48" t="s">
        <v>23</v>
      </c>
      <c r="E48" t="s">
        <v>24</v>
      </c>
      <c r="F48" t="s">
        <v>16</v>
      </c>
      <c r="G48">
        <v>5900000</v>
      </c>
      <c r="H48">
        <v>850000</v>
      </c>
      <c r="I48" t="s">
        <v>26</v>
      </c>
      <c r="J48" s="1">
        <v>46064</v>
      </c>
      <c r="K48">
        <v>8000000</v>
      </c>
      <c r="L48" t="s">
        <v>38</v>
      </c>
      <c r="M48">
        <v>674</v>
      </c>
      <c r="N48" t="s">
        <v>481</v>
      </c>
      <c r="O48">
        <v>2022</v>
      </c>
      <c r="P48" t="s">
        <v>495</v>
      </c>
    </row>
    <row r="49" spans="1:16" x14ac:dyDescent="0.3">
      <c r="A49" t="s">
        <v>86</v>
      </c>
      <c r="B49" s="1">
        <v>45524</v>
      </c>
      <c r="C49" t="s">
        <v>35</v>
      </c>
      <c r="D49" t="s">
        <v>23</v>
      </c>
      <c r="E49" t="s">
        <v>24</v>
      </c>
      <c r="F49" t="s">
        <v>16</v>
      </c>
      <c r="G49">
        <v>5400000</v>
      </c>
      <c r="H49">
        <v>5400000</v>
      </c>
      <c r="I49" t="s">
        <v>20</v>
      </c>
      <c r="J49" s="1">
        <v>46422</v>
      </c>
      <c r="K49">
        <v>9000000</v>
      </c>
      <c r="L49" t="s">
        <v>38</v>
      </c>
      <c r="M49">
        <v>0</v>
      </c>
      <c r="N49" t="s">
        <v>481</v>
      </c>
      <c r="O49">
        <v>2022</v>
      </c>
      <c r="P49" t="s">
        <v>494</v>
      </c>
    </row>
    <row r="50" spans="1:16" x14ac:dyDescent="0.3">
      <c r="A50" t="s">
        <v>87</v>
      </c>
      <c r="B50" s="1">
        <v>45652</v>
      </c>
      <c r="C50" t="s">
        <v>35</v>
      </c>
      <c r="D50" t="s">
        <v>44</v>
      </c>
      <c r="E50" t="s">
        <v>45</v>
      </c>
      <c r="F50" t="s">
        <v>16</v>
      </c>
      <c r="G50">
        <v>4750000</v>
      </c>
      <c r="H50">
        <v>800000</v>
      </c>
      <c r="I50" t="s">
        <v>26</v>
      </c>
      <c r="J50" s="1">
        <v>45968</v>
      </c>
      <c r="K50">
        <v>9000000</v>
      </c>
      <c r="L50" t="s">
        <v>476</v>
      </c>
      <c r="M50">
        <v>459</v>
      </c>
      <c r="N50" t="s">
        <v>482</v>
      </c>
      <c r="O50">
        <v>2023</v>
      </c>
      <c r="P50" t="s">
        <v>495</v>
      </c>
    </row>
    <row r="51" spans="1:16" x14ac:dyDescent="0.3">
      <c r="A51" t="s">
        <v>88</v>
      </c>
      <c r="B51" s="1">
        <v>45443</v>
      </c>
      <c r="C51" t="s">
        <v>22</v>
      </c>
      <c r="D51" t="s">
        <v>14</v>
      </c>
      <c r="E51" t="s">
        <v>15</v>
      </c>
      <c r="F51" t="s">
        <v>16</v>
      </c>
      <c r="G51">
        <v>4800000</v>
      </c>
      <c r="H51">
        <v>4800000</v>
      </c>
      <c r="I51" t="s">
        <v>26</v>
      </c>
      <c r="J51" s="1">
        <v>45869</v>
      </c>
      <c r="K51">
        <v>8000000</v>
      </c>
      <c r="L51" t="s">
        <v>476</v>
      </c>
      <c r="M51">
        <v>668</v>
      </c>
      <c r="N51" t="s">
        <v>480</v>
      </c>
      <c r="O51">
        <v>2021</v>
      </c>
      <c r="P51" t="s">
        <v>494</v>
      </c>
    </row>
    <row r="52" spans="1:16" x14ac:dyDescent="0.3">
      <c r="A52" t="s">
        <v>89</v>
      </c>
      <c r="B52" s="1">
        <v>45593</v>
      </c>
      <c r="C52" t="s">
        <v>28</v>
      </c>
      <c r="D52" t="s">
        <v>14</v>
      </c>
      <c r="E52" t="s">
        <v>15</v>
      </c>
      <c r="F52" t="s">
        <v>51</v>
      </c>
      <c r="G52">
        <v>11150000</v>
      </c>
      <c r="H52">
        <v>11150000</v>
      </c>
      <c r="I52" t="s">
        <v>20</v>
      </c>
      <c r="J52" s="1">
        <v>46005</v>
      </c>
      <c r="K52">
        <v>7000000</v>
      </c>
      <c r="L52" t="s">
        <v>40</v>
      </c>
      <c r="M52">
        <v>0</v>
      </c>
      <c r="N52" t="s">
        <v>480</v>
      </c>
      <c r="O52">
        <v>2021</v>
      </c>
      <c r="P52" t="s">
        <v>494</v>
      </c>
    </row>
    <row r="53" spans="1:16" x14ac:dyDescent="0.3">
      <c r="A53" t="s">
        <v>90</v>
      </c>
      <c r="B53" s="1">
        <v>45417</v>
      </c>
      <c r="C53" t="s">
        <v>22</v>
      </c>
      <c r="D53" t="s">
        <v>14</v>
      </c>
      <c r="E53" t="s">
        <v>15</v>
      </c>
      <c r="F53" t="s">
        <v>33</v>
      </c>
      <c r="G53">
        <v>7400000</v>
      </c>
      <c r="H53">
        <v>7400000</v>
      </c>
      <c r="I53" t="s">
        <v>20</v>
      </c>
      <c r="J53" s="1">
        <v>45740</v>
      </c>
      <c r="K53">
        <v>8000000</v>
      </c>
      <c r="L53" t="s">
        <v>476</v>
      </c>
      <c r="M53">
        <v>0</v>
      </c>
      <c r="N53" t="s">
        <v>480</v>
      </c>
      <c r="O53">
        <v>2021</v>
      </c>
      <c r="P53" t="s">
        <v>494</v>
      </c>
    </row>
    <row r="54" spans="1:16" x14ac:dyDescent="0.3">
      <c r="A54" t="s">
        <v>91</v>
      </c>
      <c r="B54" s="1">
        <v>45483</v>
      </c>
      <c r="C54" t="s">
        <v>13</v>
      </c>
      <c r="D54" t="s">
        <v>23</v>
      </c>
      <c r="E54" t="s">
        <v>24</v>
      </c>
      <c r="F54" t="s">
        <v>33</v>
      </c>
      <c r="G54">
        <v>7250000</v>
      </c>
      <c r="H54">
        <v>7250000</v>
      </c>
      <c r="I54" t="s">
        <v>20</v>
      </c>
      <c r="J54" s="1">
        <v>45842</v>
      </c>
      <c r="K54">
        <v>8500000</v>
      </c>
      <c r="L54" t="s">
        <v>38</v>
      </c>
      <c r="M54">
        <v>0</v>
      </c>
      <c r="N54" t="s">
        <v>481</v>
      </c>
      <c r="O54">
        <v>2022</v>
      </c>
      <c r="P54" t="s">
        <v>494</v>
      </c>
    </row>
    <row r="55" spans="1:16" x14ac:dyDescent="0.3">
      <c r="A55" t="s">
        <v>92</v>
      </c>
      <c r="B55" s="1">
        <v>45428</v>
      </c>
      <c r="C55" t="s">
        <v>22</v>
      </c>
      <c r="D55" t="s">
        <v>14</v>
      </c>
      <c r="E55" t="s">
        <v>15</v>
      </c>
      <c r="F55" t="s">
        <v>16</v>
      </c>
      <c r="G55">
        <v>5250000</v>
      </c>
      <c r="H55">
        <v>5250000</v>
      </c>
      <c r="I55" t="s">
        <v>20</v>
      </c>
      <c r="J55" s="1">
        <v>46166</v>
      </c>
      <c r="K55">
        <v>8000000</v>
      </c>
      <c r="L55" t="s">
        <v>18</v>
      </c>
      <c r="M55">
        <v>0</v>
      </c>
      <c r="N55" t="s">
        <v>480</v>
      </c>
      <c r="O55">
        <v>2021</v>
      </c>
      <c r="P55" t="s">
        <v>494</v>
      </c>
    </row>
    <row r="56" spans="1:16" x14ac:dyDescent="0.3">
      <c r="A56" t="s">
        <v>93</v>
      </c>
      <c r="B56" s="1">
        <v>45382</v>
      </c>
      <c r="C56" t="s">
        <v>13</v>
      </c>
      <c r="D56" t="s">
        <v>23</v>
      </c>
      <c r="E56" t="s">
        <v>24</v>
      </c>
      <c r="F56" t="s">
        <v>51</v>
      </c>
      <c r="G56">
        <v>12950000</v>
      </c>
      <c r="H56">
        <v>0</v>
      </c>
      <c r="I56" t="s">
        <v>17</v>
      </c>
      <c r="J56" s="1">
        <v>45816</v>
      </c>
      <c r="K56">
        <v>8500000</v>
      </c>
      <c r="L56" t="s">
        <v>18</v>
      </c>
      <c r="M56">
        <v>0</v>
      </c>
      <c r="N56" t="s">
        <v>481</v>
      </c>
      <c r="O56">
        <v>2022</v>
      </c>
      <c r="P56" t="s">
        <v>476</v>
      </c>
    </row>
    <row r="57" spans="1:16" x14ac:dyDescent="0.3">
      <c r="A57" t="s">
        <v>94</v>
      </c>
      <c r="B57" s="1">
        <v>45637</v>
      </c>
      <c r="C57" t="s">
        <v>31</v>
      </c>
      <c r="D57" t="s">
        <v>23</v>
      </c>
      <c r="E57" t="s">
        <v>24</v>
      </c>
      <c r="F57" t="s">
        <v>33</v>
      </c>
      <c r="G57">
        <v>7450000</v>
      </c>
      <c r="H57">
        <v>0</v>
      </c>
      <c r="I57" t="s">
        <v>17</v>
      </c>
      <c r="J57" s="1">
        <v>45881</v>
      </c>
      <c r="K57">
        <v>7500000</v>
      </c>
      <c r="L57" t="s">
        <v>476</v>
      </c>
      <c r="M57">
        <v>0</v>
      </c>
      <c r="N57" t="s">
        <v>481</v>
      </c>
      <c r="O57">
        <v>2022</v>
      </c>
      <c r="P57" t="s">
        <v>476</v>
      </c>
    </row>
    <row r="58" spans="1:16" x14ac:dyDescent="0.3">
      <c r="A58" t="s">
        <v>95</v>
      </c>
      <c r="B58" s="1">
        <v>45594</v>
      </c>
      <c r="C58" t="s">
        <v>31</v>
      </c>
      <c r="D58" t="s">
        <v>23</v>
      </c>
      <c r="E58" t="s">
        <v>24</v>
      </c>
      <c r="F58" t="s">
        <v>33</v>
      </c>
      <c r="G58">
        <v>8600000</v>
      </c>
      <c r="H58">
        <v>8600000</v>
      </c>
      <c r="I58" t="s">
        <v>20</v>
      </c>
      <c r="J58" s="1">
        <v>46126</v>
      </c>
      <c r="K58">
        <v>7500000</v>
      </c>
      <c r="L58" t="s">
        <v>476</v>
      </c>
      <c r="M58">
        <v>0</v>
      </c>
      <c r="N58" t="s">
        <v>481</v>
      </c>
      <c r="O58">
        <v>2022</v>
      </c>
      <c r="P58" t="s">
        <v>494</v>
      </c>
    </row>
    <row r="59" spans="1:16" x14ac:dyDescent="0.3">
      <c r="A59" t="s">
        <v>96</v>
      </c>
      <c r="B59" s="1">
        <v>45516</v>
      </c>
      <c r="C59" t="s">
        <v>13</v>
      </c>
      <c r="D59" t="s">
        <v>23</v>
      </c>
      <c r="E59" t="s">
        <v>24</v>
      </c>
      <c r="F59" t="s">
        <v>25</v>
      </c>
      <c r="G59">
        <v>3350000</v>
      </c>
      <c r="H59">
        <v>0</v>
      </c>
      <c r="I59" t="s">
        <v>17</v>
      </c>
      <c r="J59" s="1">
        <v>45813</v>
      </c>
      <c r="K59">
        <v>8500000</v>
      </c>
      <c r="L59" t="s">
        <v>42</v>
      </c>
      <c r="M59">
        <v>0</v>
      </c>
      <c r="N59" t="s">
        <v>481</v>
      </c>
      <c r="O59">
        <v>2022</v>
      </c>
      <c r="P59" t="s">
        <v>476</v>
      </c>
    </row>
    <row r="60" spans="1:16" x14ac:dyDescent="0.3">
      <c r="A60" t="s">
        <v>97</v>
      </c>
      <c r="B60" s="1">
        <v>45555</v>
      </c>
      <c r="C60" t="s">
        <v>35</v>
      </c>
      <c r="D60" t="s">
        <v>14</v>
      </c>
      <c r="E60" t="s">
        <v>15</v>
      </c>
      <c r="F60" t="s">
        <v>16</v>
      </c>
      <c r="G60">
        <v>4300000</v>
      </c>
      <c r="H60">
        <v>850000</v>
      </c>
      <c r="I60" t="s">
        <v>26</v>
      </c>
      <c r="J60" s="1">
        <v>45989</v>
      </c>
      <c r="K60">
        <v>9000000</v>
      </c>
      <c r="L60" t="s">
        <v>42</v>
      </c>
      <c r="M60">
        <v>556</v>
      </c>
      <c r="N60" t="s">
        <v>480</v>
      </c>
      <c r="O60">
        <v>2021</v>
      </c>
      <c r="P60" t="s">
        <v>495</v>
      </c>
    </row>
    <row r="61" spans="1:16" x14ac:dyDescent="0.3">
      <c r="A61" t="s">
        <v>98</v>
      </c>
      <c r="B61" s="1">
        <v>45572</v>
      </c>
      <c r="C61" t="s">
        <v>13</v>
      </c>
      <c r="D61" t="s">
        <v>44</v>
      </c>
      <c r="E61" t="s">
        <v>45</v>
      </c>
      <c r="F61" t="s">
        <v>51</v>
      </c>
      <c r="G61">
        <v>13500000</v>
      </c>
      <c r="H61">
        <v>2400000</v>
      </c>
      <c r="I61" t="s">
        <v>26</v>
      </c>
      <c r="J61" s="1">
        <v>46005</v>
      </c>
      <c r="K61">
        <v>8500000</v>
      </c>
      <c r="L61" t="s">
        <v>18</v>
      </c>
      <c r="M61">
        <v>539</v>
      </c>
      <c r="N61" t="s">
        <v>482</v>
      </c>
      <c r="O61">
        <v>2023</v>
      </c>
      <c r="P61" t="s">
        <v>495</v>
      </c>
    </row>
    <row r="62" spans="1:16" x14ac:dyDescent="0.3">
      <c r="A62" t="s">
        <v>100</v>
      </c>
      <c r="B62" s="1">
        <v>45588</v>
      </c>
      <c r="C62" t="s">
        <v>22</v>
      </c>
      <c r="D62" t="s">
        <v>44</v>
      </c>
      <c r="E62" t="s">
        <v>45</v>
      </c>
      <c r="F62" t="s">
        <v>33</v>
      </c>
      <c r="G62">
        <v>8050000</v>
      </c>
      <c r="H62">
        <v>3100000</v>
      </c>
      <c r="I62" t="s">
        <v>26</v>
      </c>
      <c r="J62" s="1">
        <v>45971</v>
      </c>
      <c r="K62">
        <v>8000000</v>
      </c>
      <c r="L62" t="s">
        <v>38</v>
      </c>
      <c r="M62">
        <v>523</v>
      </c>
      <c r="N62" t="s">
        <v>482</v>
      </c>
      <c r="O62">
        <v>2023</v>
      </c>
      <c r="P62" t="s">
        <v>495</v>
      </c>
    </row>
    <row r="63" spans="1:16" x14ac:dyDescent="0.3">
      <c r="A63" t="s">
        <v>101</v>
      </c>
      <c r="B63" s="1">
        <v>45367</v>
      </c>
      <c r="C63" t="s">
        <v>13</v>
      </c>
      <c r="D63" t="s">
        <v>23</v>
      </c>
      <c r="E63" t="s">
        <v>24</v>
      </c>
      <c r="F63" t="s">
        <v>16</v>
      </c>
      <c r="G63">
        <v>5900000</v>
      </c>
      <c r="H63">
        <v>5900000</v>
      </c>
      <c r="I63" t="s">
        <v>20</v>
      </c>
      <c r="J63" s="1">
        <v>45913</v>
      </c>
      <c r="K63">
        <v>8500000</v>
      </c>
      <c r="L63" t="s">
        <v>29</v>
      </c>
      <c r="M63">
        <v>0</v>
      </c>
      <c r="N63" t="s">
        <v>481</v>
      </c>
      <c r="O63">
        <v>2022</v>
      </c>
      <c r="P63" t="s">
        <v>494</v>
      </c>
    </row>
    <row r="64" spans="1:16" x14ac:dyDescent="0.3">
      <c r="A64" t="s">
        <v>102</v>
      </c>
      <c r="B64" s="1">
        <v>45491</v>
      </c>
      <c r="C64" t="s">
        <v>28</v>
      </c>
      <c r="D64" t="s">
        <v>14</v>
      </c>
      <c r="E64" t="s">
        <v>15</v>
      </c>
      <c r="F64" t="s">
        <v>51</v>
      </c>
      <c r="G64">
        <v>12700000</v>
      </c>
      <c r="H64">
        <v>1300000</v>
      </c>
      <c r="I64" t="s">
        <v>26</v>
      </c>
      <c r="J64" s="1">
        <v>46031</v>
      </c>
      <c r="K64">
        <v>7000000</v>
      </c>
      <c r="L64" t="s">
        <v>18</v>
      </c>
      <c r="M64">
        <v>620</v>
      </c>
      <c r="N64" t="s">
        <v>480</v>
      </c>
      <c r="O64">
        <v>2021</v>
      </c>
      <c r="P64" t="s">
        <v>495</v>
      </c>
    </row>
    <row r="65" spans="1:16" x14ac:dyDescent="0.3">
      <c r="A65" t="s">
        <v>103</v>
      </c>
      <c r="B65" s="1">
        <v>45622</v>
      </c>
      <c r="C65" t="s">
        <v>13</v>
      </c>
      <c r="D65" t="s">
        <v>14</v>
      </c>
      <c r="E65" t="s">
        <v>15</v>
      </c>
      <c r="F65" t="s">
        <v>51</v>
      </c>
      <c r="G65">
        <v>12300000</v>
      </c>
      <c r="H65">
        <v>12300000</v>
      </c>
      <c r="I65" t="s">
        <v>20</v>
      </c>
      <c r="J65" s="1">
        <v>45845</v>
      </c>
      <c r="K65">
        <v>8500000</v>
      </c>
      <c r="L65" t="s">
        <v>476</v>
      </c>
      <c r="M65">
        <v>0</v>
      </c>
      <c r="N65" t="s">
        <v>480</v>
      </c>
      <c r="O65">
        <v>2021</v>
      </c>
      <c r="P65" t="s">
        <v>494</v>
      </c>
    </row>
    <row r="66" spans="1:16" x14ac:dyDescent="0.3">
      <c r="A66" t="s">
        <v>104</v>
      </c>
      <c r="B66" s="1">
        <v>45586</v>
      </c>
      <c r="C66" t="s">
        <v>31</v>
      </c>
      <c r="D66" t="s">
        <v>23</v>
      </c>
      <c r="E66" t="s">
        <v>24</v>
      </c>
      <c r="F66" t="s">
        <v>51</v>
      </c>
      <c r="G66">
        <v>12800000</v>
      </c>
      <c r="H66">
        <v>12800000</v>
      </c>
      <c r="I66" t="s">
        <v>20</v>
      </c>
      <c r="J66" s="1">
        <v>45882</v>
      </c>
      <c r="K66">
        <v>7500000</v>
      </c>
      <c r="L66" t="s">
        <v>29</v>
      </c>
      <c r="M66">
        <v>0</v>
      </c>
      <c r="N66" t="s">
        <v>481</v>
      </c>
      <c r="O66">
        <v>2022</v>
      </c>
      <c r="P66" t="s">
        <v>494</v>
      </c>
    </row>
    <row r="67" spans="1:16" x14ac:dyDescent="0.3">
      <c r="A67" t="s">
        <v>105</v>
      </c>
      <c r="B67" s="1">
        <v>45347</v>
      </c>
      <c r="C67" t="s">
        <v>31</v>
      </c>
      <c r="D67" t="s">
        <v>23</v>
      </c>
      <c r="E67" t="s">
        <v>24</v>
      </c>
      <c r="F67" t="s">
        <v>16</v>
      </c>
      <c r="G67">
        <v>4900000</v>
      </c>
      <c r="H67">
        <v>4900000</v>
      </c>
      <c r="I67" t="s">
        <v>20</v>
      </c>
      <c r="J67" s="1">
        <v>45812</v>
      </c>
      <c r="K67">
        <v>7500000</v>
      </c>
      <c r="L67" t="s">
        <v>476</v>
      </c>
      <c r="M67">
        <v>0</v>
      </c>
      <c r="N67" t="s">
        <v>481</v>
      </c>
      <c r="O67">
        <v>2022</v>
      </c>
      <c r="P67" t="s">
        <v>494</v>
      </c>
    </row>
    <row r="68" spans="1:16" x14ac:dyDescent="0.3">
      <c r="A68" t="s">
        <v>106</v>
      </c>
      <c r="B68" s="1">
        <v>45380</v>
      </c>
      <c r="C68" t="s">
        <v>35</v>
      </c>
      <c r="D68" t="s">
        <v>14</v>
      </c>
      <c r="E68" t="s">
        <v>15</v>
      </c>
      <c r="F68" t="s">
        <v>16</v>
      </c>
      <c r="G68">
        <v>4600000</v>
      </c>
      <c r="H68">
        <v>1700000</v>
      </c>
      <c r="I68" t="s">
        <v>26</v>
      </c>
      <c r="J68" s="1">
        <v>45595</v>
      </c>
      <c r="K68">
        <v>9000000</v>
      </c>
      <c r="L68" t="s">
        <v>29</v>
      </c>
      <c r="M68">
        <v>731</v>
      </c>
      <c r="N68" t="s">
        <v>480</v>
      </c>
      <c r="O68">
        <v>2021</v>
      </c>
      <c r="P68" t="s">
        <v>495</v>
      </c>
    </row>
    <row r="69" spans="1:16" x14ac:dyDescent="0.3">
      <c r="A69" t="s">
        <v>107</v>
      </c>
      <c r="B69" s="1">
        <v>45360</v>
      </c>
      <c r="C69" t="s">
        <v>13</v>
      </c>
      <c r="D69" t="s">
        <v>44</v>
      </c>
      <c r="E69" t="s">
        <v>45</v>
      </c>
      <c r="F69" t="s">
        <v>33</v>
      </c>
      <c r="G69">
        <v>7850000</v>
      </c>
      <c r="H69">
        <v>2250000</v>
      </c>
      <c r="I69" t="s">
        <v>26</v>
      </c>
      <c r="J69" s="1">
        <v>46056</v>
      </c>
      <c r="K69">
        <v>8500000</v>
      </c>
      <c r="L69" t="s">
        <v>476</v>
      </c>
      <c r="M69">
        <v>751</v>
      </c>
      <c r="N69" t="s">
        <v>482</v>
      </c>
      <c r="O69">
        <v>2023</v>
      </c>
      <c r="P69" t="s">
        <v>495</v>
      </c>
    </row>
    <row r="70" spans="1:16" x14ac:dyDescent="0.3">
      <c r="A70" t="s">
        <v>108</v>
      </c>
      <c r="B70" s="1">
        <v>45319</v>
      </c>
      <c r="C70" t="s">
        <v>35</v>
      </c>
      <c r="D70" t="s">
        <v>14</v>
      </c>
      <c r="E70" t="s">
        <v>15</v>
      </c>
      <c r="F70" t="s">
        <v>16</v>
      </c>
      <c r="G70">
        <v>5750000</v>
      </c>
      <c r="H70">
        <v>0</v>
      </c>
      <c r="I70" t="s">
        <v>17</v>
      </c>
      <c r="J70" s="1">
        <v>46139</v>
      </c>
      <c r="K70">
        <v>9000000</v>
      </c>
      <c r="L70" t="s">
        <v>476</v>
      </c>
      <c r="M70">
        <v>0</v>
      </c>
      <c r="N70" t="s">
        <v>480</v>
      </c>
      <c r="O70">
        <v>2021</v>
      </c>
      <c r="P70" t="s">
        <v>476</v>
      </c>
    </row>
    <row r="71" spans="1:16" x14ac:dyDescent="0.3">
      <c r="A71" t="s">
        <v>109</v>
      </c>
      <c r="B71" s="1">
        <v>45369</v>
      </c>
      <c r="C71" t="s">
        <v>35</v>
      </c>
      <c r="D71" t="s">
        <v>23</v>
      </c>
      <c r="E71" t="s">
        <v>24</v>
      </c>
      <c r="F71" t="s">
        <v>25</v>
      </c>
      <c r="G71">
        <v>2800000</v>
      </c>
      <c r="H71">
        <v>1050000</v>
      </c>
      <c r="I71" t="s">
        <v>26</v>
      </c>
      <c r="J71" s="1">
        <v>45636</v>
      </c>
      <c r="K71">
        <v>9000000</v>
      </c>
      <c r="L71" t="s">
        <v>38</v>
      </c>
      <c r="M71">
        <v>742</v>
      </c>
      <c r="N71" t="s">
        <v>481</v>
      </c>
      <c r="O71">
        <v>2022</v>
      </c>
      <c r="P71" t="s">
        <v>495</v>
      </c>
    </row>
    <row r="72" spans="1:16" x14ac:dyDescent="0.3">
      <c r="A72" t="s">
        <v>110</v>
      </c>
      <c r="B72" s="1">
        <v>45313</v>
      </c>
      <c r="C72" t="s">
        <v>35</v>
      </c>
      <c r="D72" t="s">
        <v>44</v>
      </c>
      <c r="E72" t="s">
        <v>45</v>
      </c>
      <c r="F72" t="s">
        <v>16</v>
      </c>
      <c r="G72">
        <v>5700000</v>
      </c>
      <c r="H72">
        <v>1400000</v>
      </c>
      <c r="I72" t="s">
        <v>26</v>
      </c>
      <c r="J72" s="1">
        <v>45530</v>
      </c>
      <c r="K72">
        <v>9000000</v>
      </c>
      <c r="L72" t="s">
        <v>29</v>
      </c>
      <c r="M72">
        <v>798</v>
      </c>
      <c r="N72" t="s">
        <v>482</v>
      </c>
      <c r="O72">
        <v>2023</v>
      </c>
      <c r="P72" t="s">
        <v>495</v>
      </c>
    </row>
    <row r="73" spans="1:16" x14ac:dyDescent="0.3">
      <c r="A73" t="s">
        <v>111</v>
      </c>
      <c r="B73" s="1">
        <v>45623</v>
      </c>
      <c r="C73" t="s">
        <v>35</v>
      </c>
      <c r="D73" t="s">
        <v>23</v>
      </c>
      <c r="E73" t="s">
        <v>24</v>
      </c>
      <c r="F73" t="s">
        <v>25</v>
      </c>
      <c r="G73">
        <v>2600000</v>
      </c>
      <c r="H73">
        <v>2600000</v>
      </c>
      <c r="I73" t="s">
        <v>20</v>
      </c>
      <c r="J73" s="1">
        <v>46195</v>
      </c>
      <c r="K73">
        <v>9000000</v>
      </c>
      <c r="L73" t="s">
        <v>52</v>
      </c>
      <c r="M73">
        <v>0</v>
      </c>
      <c r="N73" t="s">
        <v>481</v>
      </c>
      <c r="O73">
        <v>2022</v>
      </c>
      <c r="P73" t="s">
        <v>494</v>
      </c>
    </row>
    <row r="74" spans="1:16" x14ac:dyDescent="0.3">
      <c r="A74" t="s">
        <v>112</v>
      </c>
      <c r="B74" s="1">
        <v>45410</v>
      </c>
      <c r="C74" t="s">
        <v>28</v>
      </c>
      <c r="D74" t="s">
        <v>23</v>
      </c>
      <c r="E74" t="s">
        <v>24</v>
      </c>
      <c r="F74" t="s">
        <v>16</v>
      </c>
      <c r="G74">
        <v>5550000</v>
      </c>
      <c r="H74">
        <v>5550000</v>
      </c>
      <c r="I74" t="s">
        <v>20</v>
      </c>
      <c r="J74" s="1">
        <v>46184</v>
      </c>
      <c r="K74">
        <v>7000000</v>
      </c>
      <c r="L74" t="s">
        <v>38</v>
      </c>
      <c r="M74">
        <v>0</v>
      </c>
      <c r="N74" t="s">
        <v>481</v>
      </c>
      <c r="O74">
        <v>2022</v>
      </c>
      <c r="P74" t="s">
        <v>494</v>
      </c>
    </row>
    <row r="75" spans="1:16" x14ac:dyDescent="0.3">
      <c r="A75" t="s">
        <v>113</v>
      </c>
      <c r="B75" s="1">
        <v>45420</v>
      </c>
      <c r="C75" t="s">
        <v>22</v>
      </c>
      <c r="D75" t="s">
        <v>14</v>
      </c>
      <c r="E75" t="s">
        <v>15</v>
      </c>
      <c r="F75" t="s">
        <v>25</v>
      </c>
      <c r="G75">
        <v>2900000</v>
      </c>
      <c r="H75">
        <v>0</v>
      </c>
      <c r="I75" t="s">
        <v>17</v>
      </c>
      <c r="J75" s="1">
        <v>45912</v>
      </c>
      <c r="K75">
        <v>8000000</v>
      </c>
      <c r="L75" t="s">
        <v>29</v>
      </c>
      <c r="M75">
        <v>0</v>
      </c>
      <c r="N75" t="s">
        <v>480</v>
      </c>
      <c r="O75">
        <v>2021</v>
      </c>
      <c r="P75" t="s">
        <v>476</v>
      </c>
    </row>
    <row r="76" spans="1:16" x14ac:dyDescent="0.3">
      <c r="A76" t="s">
        <v>115</v>
      </c>
      <c r="B76" s="1">
        <v>45477</v>
      </c>
      <c r="C76" t="s">
        <v>13</v>
      </c>
      <c r="D76" t="s">
        <v>23</v>
      </c>
      <c r="E76" t="s">
        <v>24</v>
      </c>
      <c r="F76" t="s">
        <v>16</v>
      </c>
      <c r="G76">
        <v>5550000</v>
      </c>
      <c r="H76">
        <v>2150000</v>
      </c>
      <c r="I76" t="s">
        <v>26</v>
      </c>
      <c r="J76" s="1">
        <v>45933</v>
      </c>
      <c r="K76">
        <v>8500000</v>
      </c>
      <c r="L76" t="s">
        <v>476</v>
      </c>
      <c r="M76">
        <v>634</v>
      </c>
      <c r="N76" t="s">
        <v>481</v>
      </c>
      <c r="O76">
        <v>2022</v>
      </c>
      <c r="P76" t="s">
        <v>495</v>
      </c>
    </row>
    <row r="77" spans="1:16" x14ac:dyDescent="0.3">
      <c r="A77" t="s">
        <v>116</v>
      </c>
      <c r="B77" s="1">
        <v>45593</v>
      </c>
      <c r="C77" t="s">
        <v>13</v>
      </c>
      <c r="D77" t="s">
        <v>14</v>
      </c>
      <c r="E77" t="s">
        <v>15</v>
      </c>
      <c r="F77" t="s">
        <v>33</v>
      </c>
      <c r="G77">
        <v>6900000</v>
      </c>
      <c r="H77">
        <v>6900000</v>
      </c>
      <c r="I77" t="s">
        <v>20</v>
      </c>
      <c r="J77" s="1">
        <v>46413</v>
      </c>
      <c r="K77">
        <v>8500000</v>
      </c>
      <c r="L77" t="s">
        <v>29</v>
      </c>
      <c r="M77">
        <v>0</v>
      </c>
      <c r="N77" t="s">
        <v>480</v>
      </c>
      <c r="O77">
        <v>2021</v>
      </c>
      <c r="P77" t="s">
        <v>494</v>
      </c>
    </row>
    <row r="78" spans="1:16" x14ac:dyDescent="0.3">
      <c r="A78" t="s">
        <v>117</v>
      </c>
      <c r="B78" s="1">
        <v>45450</v>
      </c>
      <c r="C78" t="s">
        <v>13</v>
      </c>
      <c r="D78" t="s">
        <v>23</v>
      </c>
      <c r="E78" t="s">
        <v>24</v>
      </c>
      <c r="F78" t="s">
        <v>33</v>
      </c>
      <c r="G78">
        <v>7050000</v>
      </c>
      <c r="H78">
        <v>7050000</v>
      </c>
      <c r="I78" t="s">
        <v>20</v>
      </c>
      <c r="J78" s="1">
        <v>45932</v>
      </c>
      <c r="K78">
        <v>8500000</v>
      </c>
      <c r="L78" t="s">
        <v>40</v>
      </c>
      <c r="M78">
        <v>0</v>
      </c>
      <c r="N78" t="s">
        <v>481</v>
      </c>
      <c r="O78">
        <v>2022</v>
      </c>
      <c r="P78" t="s">
        <v>494</v>
      </c>
    </row>
    <row r="79" spans="1:16" x14ac:dyDescent="0.3">
      <c r="A79" t="s">
        <v>118</v>
      </c>
      <c r="B79" s="1">
        <v>45459</v>
      </c>
      <c r="C79" t="s">
        <v>22</v>
      </c>
      <c r="D79" t="s">
        <v>23</v>
      </c>
      <c r="E79" t="s">
        <v>24</v>
      </c>
      <c r="F79" t="s">
        <v>16</v>
      </c>
      <c r="G79">
        <v>4250000</v>
      </c>
      <c r="H79">
        <v>1100000</v>
      </c>
      <c r="I79" t="s">
        <v>26</v>
      </c>
      <c r="J79" s="1">
        <v>45874</v>
      </c>
      <c r="K79">
        <v>8000000</v>
      </c>
      <c r="L79" t="s">
        <v>476</v>
      </c>
      <c r="M79">
        <v>652</v>
      </c>
      <c r="N79" t="s">
        <v>481</v>
      </c>
      <c r="O79">
        <v>2022</v>
      </c>
      <c r="P79" t="s">
        <v>495</v>
      </c>
    </row>
    <row r="80" spans="1:16" x14ac:dyDescent="0.3">
      <c r="A80" t="s">
        <v>119</v>
      </c>
      <c r="B80" s="1">
        <v>45649</v>
      </c>
      <c r="C80" t="s">
        <v>31</v>
      </c>
      <c r="D80" t="s">
        <v>14</v>
      </c>
      <c r="E80" t="s">
        <v>15</v>
      </c>
      <c r="F80" t="s">
        <v>51</v>
      </c>
      <c r="G80">
        <v>12950000</v>
      </c>
      <c r="H80">
        <v>12950000</v>
      </c>
      <c r="I80" t="s">
        <v>20</v>
      </c>
      <c r="J80" s="1">
        <v>46154</v>
      </c>
      <c r="K80">
        <v>7500000</v>
      </c>
      <c r="L80" t="s">
        <v>476</v>
      </c>
      <c r="M80">
        <v>0</v>
      </c>
      <c r="N80" t="s">
        <v>480</v>
      </c>
      <c r="O80">
        <v>2021</v>
      </c>
      <c r="P80" t="s">
        <v>494</v>
      </c>
    </row>
    <row r="81" spans="1:16" x14ac:dyDescent="0.3">
      <c r="A81" t="s">
        <v>120</v>
      </c>
      <c r="B81" s="1">
        <v>45630</v>
      </c>
      <c r="C81" t="s">
        <v>31</v>
      </c>
      <c r="D81" t="s">
        <v>14</v>
      </c>
      <c r="E81" t="s">
        <v>15</v>
      </c>
      <c r="F81" t="s">
        <v>51</v>
      </c>
      <c r="G81">
        <v>11450000</v>
      </c>
      <c r="H81">
        <v>11450000</v>
      </c>
      <c r="I81" t="s">
        <v>26</v>
      </c>
      <c r="J81" s="1">
        <v>46199</v>
      </c>
      <c r="K81">
        <v>7500000</v>
      </c>
      <c r="L81" t="s">
        <v>18</v>
      </c>
      <c r="M81">
        <v>481</v>
      </c>
      <c r="N81" t="s">
        <v>480</v>
      </c>
      <c r="O81">
        <v>2021</v>
      </c>
      <c r="P81" t="s">
        <v>494</v>
      </c>
    </row>
    <row r="82" spans="1:16" x14ac:dyDescent="0.3">
      <c r="A82" t="s">
        <v>121</v>
      </c>
      <c r="B82" s="1">
        <v>45565</v>
      </c>
      <c r="C82" t="s">
        <v>31</v>
      </c>
      <c r="D82" t="s">
        <v>23</v>
      </c>
      <c r="E82" t="s">
        <v>24</v>
      </c>
      <c r="F82" t="s">
        <v>51</v>
      </c>
      <c r="G82">
        <v>11150000</v>
      </c>
      <c r="H82">
        <v>11150000</v>
      </c>
      <c r="I82" t="s">
        <v>20</v>
      </c>
      <c r="J82" s="1">
        <v>46439</v>
      </c>
      <c r="K82">
        <v>7500000</v>
      </c>
      <c r="L82" t="s">
        <v>476</v>
      </c>
      <c r="M82">
        <v>0</v>
      </c>
      <c r="N82" t="s">
        <v>481</v>
      </c>
      <c r="O82">
        <v>2022</v>
      </c>
      <c r="P82" t="s">
        <v>494</v>
      </c>
    </row>
    <row r="83" spans="1:16" x14ac:dyDescent="0.3">
      <c r="A83" t="s">
        <v>122</v>
      </c>
      <c r="B83" s="1">
        <v>45314</v>
      </c>
      <c r="C83" t="s">
        <v>22</v>
      </c>
      <c r="D83" t="s">
        <v>23</v>
      </c>
      <c r="E83" t="s">
        <v>24</v>
      </c>
      <c r="F83" t="s">
        <v>16</v>
      </c>
      <c r="G83">
        <v>4800000</v>
      </c>
      <c r="H83">
        <v>4800000</v>
      </c>
      <c r="I83" t="s">
        <v>20</v>
      </c>
      <c r="J83" s="1">
        <v>45677</v>
      </c>
      <c r="K83">
        <v>8000000</v>
      </c>
      <c r="L83" t="s">
        <v>42</v>
      </c>
      <c r="M83">
        <v>0</v>
      </c>
      <c r="N83" t="s">
        <v>481</v>
      </c>
      <c r="O83">
        <v>2022</v>
      </c>
      <c r="P83" t="s">
        <v>494</v>
      </c>
    </row>
    <row r="84" spans="1:16" x14ac:dyDescent="0.3">
      <c r="A84" t="s">
        <v>123</v>
      </c>
      <c r="B84" s="1">
        <v>45457</v>
      </c>
      <c r="C84" t="s">
        <v>31</v>
      </c>
      <c r="D84" t="s">
        <v>23</v>
      </c>
      <c r="E84" t="s">
        <v>24</v>
      </c>
      <c r="F84" t="s">
        <v>51</v>
      </c>
      <c r="G84">
        <v>10150000</v>
      </c>
      <c r="H84">
        <v>10150000</v>
      </c>
      <c r="I84" t="s">
        <v>20</v>
      </c>
      <c r="J84" s="1">
        <v>45838</v>
      </c>
      <c r="K84">
        <v>7500000</v>
      </c>
      <c r="L84" t="s">
        <v>476</v>
      </c>
      <c r="M84">
        <v>0</v>
      </c>
      <c r="N84" t="s">
        <v>481</v>
      </c>
      <c r="O84">
        <v>2022</v>
      </c>
      <c r="P84" t="s">
        <v>494</v>
      </c>
    </row>
    <row r="85" spans="1:16" x14ac:dyDescent="0.3">
      <c r="A85" t="s">
        <v>124</v>
      </c>
      <c r="B85" s="1">
        <v>45557</v>
      </c>
      <c r="C85" t="s">
        <v>13</v>
      </c>
      <c r="D85" t="s">
        <v>23</v>
      </c>
      <c r="E85" t="s">
        <v>24</v>
      </c>
      <c r="F85" t="s">
        <v>51</v>
      </c>
      <c r="G85">
        <v>10500000</v>
      </c>
      <c r="H85">
        <v>3250000</v>
      </c>
      <c r="I85" t="s">
        <v>26</v>
      </c>
      <c r="J85" s="1">
        <v>46226</v>
      </c>
      <c r="K85">
        <v>8500000</v>
      </c>
      <c r="L85" t="s">
        <v>38</v>
      </c>
      <c r="M85">
        <v>554</v>
      </c>
      <c r="N85" t="s">
        <v>481</v>
      </c>
      <c r="O85">
        <v>2022</v>
      </c>
      <c r="P85" t="s">
        <v>495</v>
      </c>
    </row>
    <row r="86" spans="1:16" x14ac:dyDescent="0.3">
      <c r="A86" t="s">
        <v>125</v>
      </c>
      <c r="B86" s="1">
        <v>45506</v>
      </c>
      <c r="C86" t="s">
        <v>28</v>
      </c>
      <c r="D86" t="s">
        <v>14</v>
      </c>
      <c r="E86" t="s">
        <v>15</v>
      </c>
      <c r="F86" t="s">
        <v>16</v>
      </c>
      <c r="G86">
        <v>5350000</v>
      </c>
      <c r="H86">
        <v>5350000</v>
      </c>
      <c r="I86" t="s">
        <v>20</v>
      </c>
      <c r="J86" s="1">
        <v>46187</v>
      </c>
      <c r="K86">
        <v>7000000</v>
      </c>
      <c r="L86" t="s">
        <v>476</v>
      </c>
      <c r="M86">
        <v>0</v>
      </c>
      <c r="N86" t="s">
        <v>480</v>
      </c>
      <c r="O86">
        <v>2021</v>
      </c>
      <c r="P86" t="s">
        <v>494</v>
      </c>
    </row>
    <row r="87" spans="1:16" x14ac:dyDescent="0.3">
      <c r="A87" t="s">
        <v>126</v>
      </c>
      <c r="B87" s="1">
        <v>45506</v>
      </c>
      <c r="C87" t="s">
        <v>31</v>
      </c>
      <c r="D87" t="s">
        <v>14</v>
      </c>
      <c r="E87" t="s">
        <v>15</v>
      </c>
      <c r="F87" t="s">
        <v>33</v>
      </c>
      <c r="G87">
        <v>8800000</v>
      </c>
      <c r="H87">
        <v>8800000</v>
      </c>
      <c r="I87" t="s">
        <v>20</v>
      </c>
      <c r="J87" s="1">
        <v>46077</v>
      </c>
      <c r="K87">
        <v>7500000</v>
      </c>
      <c r="L87" t="s">
        <v>40</v>
      </c>
      <c r="M87">
        <v>0</v>
      </c>
      <c r="N87" t="s">
        <v>480</v>
      </c>
      <c r="O87">
        <v>2021</v>
      </c>
      <c r="P87" t="s">
        <v>494</v>
      </c>
    </row>
    <row r="88" spans="1:16" x14ac:dyDescent="0.3">
      <c r="A88" t="s">
        <v>127</v>
      </c>
      <c r="B88" s="1">
        <v>45416</v>
      </c>
      <c r="C88" t="s">
        <v>28</v>
      </c>
      <c r="D88" t="s">
        <v>23</v>
      </c>
      <c r="E88" t="s">
        <v>24</v>
      </c>
      <c r="F88" t="s">
        <v>16</v>
      </c>
      <c r="G88">
        <v>4300000</v>
      </c>
      <c r="H88">
        <v>4300000</v>
      </c>
      <c r="I88" t="s">
        <v>20</v>
      </c>
      <c r="J88" s="1">
        <v>45904</v>
      </c>
      <c r="K88">
        <v>7000000</v>
      </c>
      <c r="L88" t="s">
        <v>18</v>
      </c>
      <c r="M88">
        <v>0</v>
      </c>
      <c r="N88" t="s">
        <v>481</v>
      </c>
      <c r="O88">
        <v>2022</v>
      </c>
      <c r="P88" t="s">
        <v>494</v>
      </c>
    </row>
    <row r="89" spans="1:16" x14ac:dyDescent="0.3">
      <c r="A89" t="s">
        <v>128</v>
      </c>
      <c r="B89" s="1">
        <v>45462</v>
      </c>
      <c r="C89" t="s">
        <v>35</v>
      </c>
      <c r="D89" t="s">
        <v>14</v>
      </c>
      <c r="E89" t="s">
        <v>15</v>
      </c>
      <c r="F89" t="s">
        <v>16</v>
      </c>
      <c r="G89">
        <v>5950000</v>
      </c>
      <c r="H89">
        <v>5950000</v>
      </c>
      <c r="I89" t="s">
        <v>20</v>
      </c>
      <c r="J89" s="1">
        <v>45762</v>
      </c>
      <c r="K89">
        <v>9000000</v>
      </c>
      <c r="L89" t="s">
        <v>476</v>
      </c>
      <c r="M89">
        <v>0</v>
      </c>
      <c r="N89" t="s">
        <v>480</v>
      </c>
      <c r="O89">
        <v>2021</v>
      </c>
      <c r="P89" t="s">
        <v>494</v>
      </c>
    </row>
    <row r="90" spans="1:16" x14ac:dyDescent="0.3">
      <c r="A90" t="s">
        <v>129</v>
      </c>
      <c r="B90" s="1">
        <v>45426</v>
      </c>
      <c r="C90" t="s">
        <v>13</v>
      </c>
      <c r="D90" t="s">
        <v>23</v>
      </c>
      <c r="E90" t="s">
        <v>24</v>
      </c>
      <c r="F90" t="s">
        <v>33</v>
      </c>
      <c r="G90">
        <v>8150000</v>
      </c>
      <c r="H90">
        <v>1750000</v>
      </c>
      <c r="I90" t="s">
        <v>26</v>
      </c>
      <c r="J90" s="1">
        <v>45722</v>
      </c>
      <c r="K90">
        <v>8500000</v>
      </c>
      <c r="L90" t="s">
        <v>40</v>
      </c>
      <c r="M90">
        <v>685</v>
      </c>
      <c r="N90" t="s">
        <v>481</v>
      </c>
      <c r="O90">
        <v>2022</v>
      </c>
      <c r="P90" t="s">
        <v>495</v>
      </c>
    </row>
    <row r="91" spans="1:16" x14ac:dyDescent="0.3">
      <c r="A91" t="s">
        <v>130</v>
      </c>
      <c r="B91" s="1">
        <v>45642</v>
      </c>
      <c r="C91" t="s">
        <v>13</v>
      </c>
      <c r="D91" t="s">
        <v>23</v>
      </c>
      <c r="E91" t="s">
        <v>24</v>
      </c>
      <c r="F91" t="s">
        <v>16</v>
      </c>
      <c r="G91">
        <v>4350000</v>
      </c>
      <c r="H91">
        <v>4350000</v>
      </c>
      <c r="I91" t="s">
        <v>20</v>
      </c>
      <c r="J91" s="1">
        <v>46400</v>
      </c>
      <c r="K91">
        <v>8500000</v>
      </c>
      <c r="L91" t="s">
        <v>42</v>
      </c>
      <c r="M91">
        <v>0</v>
      </c>
      <c r="N91" t="s">
        <v>481</v>
      </c>
      <c r="O91">
        <v>2022</v>
      </c>
      <c r="P91" t="s">
        <v>494</v>
      </c>
    </row>
    <row r="92" spans="1:16" x14ac:dyDescent="0.3">
      <c r="A92" t="s">
        <v>131</v>
      </c>
      <c r="B92" s="1">
        <v>45424</v>
      </c>
      <c r="C92" t="s">
        <v>31</v>
      </c>
      <c r="D92" t="s">
        <v>23</v>
      </c>
      <c r="E92" t="s">
        <v>24</v>
      </c>
      <c r="F92" t="s">
        <v>33</v>
      </c>
      <c r="G92">
        <v>7000000</v>
      </c>
      <c r="H92">
        <v>7000000</v>
      </c>
      <c r="I92" t="s">
        <v>20</v>
      </c>
      <c r="J92" s="1">
        <v>45947</v>
      </c>
      <c r="K92">
        <v>7500000</v>
      </c>
      <c r="L92" t="s">
        <v>476</v>
      </c>
      <c r="M92">
        <v>0</v>
      </c>
      <c r="N92" t="s">
        <v>481</v>
      </c>
      <c r="O92">
        <v>2022</v>
      </c>
      <c r="P92" t="s">
        <v>494</v>
      </c>
    </row>
    <row r="93" spans="1:16" x14ac:dyDescent="0.3">
      <c r="A93" t="s">
        <v>132</v>
      </c>
      <c r="B93" s="1">
        <v>45558</v>
      </c>
      <c r="C93" t="s">
        <v>13</v>
      </c>
      <c r="D93" t="s">
        <v>14</v>
      </c>
      <c r="E93" t="s">
        <v>15</v>
      </c>
      <c r="F93" t="s">
        <v>33</v>
      </c>
      <c r="G93">
        <v>8950000</v>
      </c>
      <c r="H93">
        <v>1150000</v>
      </c>
      <c r="I93" t="s">
        <v>26</v>
      </c>
      <c r="J93" s="1">
        <v>46260</v>
      </c>
      <c r="K93">
        <v>8500000</v>
      </c>
      <c r="L93" t="s">
        <v>476</v>
      </c>
      <c r="M93">
        <v>553</v>
      </c>
      <c r="N93" t="s">
        <v>480</v>
      </c>
      <c r="O93">
        <v>2021</v>
      </c>
      <c r="P93" t="s">
        <v>495</v>
      </c>
    </row>
    <row r="94" spans="1:16" x14ac:dyDescent="0.3">
      <c r="A94" t="s">
        <v>133</v>
      </c>
      <c r="B94" s="1">
        <v>45500</v>
      </c>
      <c r="C94" t="s">
        <v>13</v>
      </c>
      <c r="D94" t="s">
        <v>14</v>
      </c>
      <c r="E94" t="s">
        <v>15</v>
      </c>
      <c r="F94" t="s">
        <v>51</v>
      </c>
      <c r="G94">
        <v>11900000</v>
      </c>
      <c r="H94">
        <v>11900000</v>
      </c>
      <c r="I94" t="s">
        <v>20</v>
      </c>
      <c r="J94" s="1">
        <v>45972</v>
      </c>
      <c r="K94">
        <v>8500000</v>
      </c>
      <c r="L94" t="s">
        <v>42</v>
      </c>
      <c r="M94">
        <v>0</v>
      </c>
      <c r="N94" t="s">
        <v>480</v>
      </c>
      <c r="O94">
        <v>2021</v>
      </c>
      <c r="P94" t="s">
        <v>494</v>
      </c>
    </row>
    <row r="95" spans="1:16" x14ac:dyDescent="0.3">
      <c r="A95" t="s">
        <v>134</v>
      </c>
      <c r="B95" s="1">
        <v>45430</v>
      </c>
      <c r="C95" t="s">
        <v>22</v>
      </c>
      <c r="D95" t="s">
        <v>44</v>
      </c>
      <c r="E95" t="s">
        <v>45</v>
      </c>
      <c r="F95" t="s">
        <v>16</v>
      </c>
      <c r="G95">
        <v>5900000</v>
      </c>
      <c r="H95">
        <v>1600000</v>
      </c>
      <c r="I95" t="s">
        <v>26</v>
      </c>
      <c r="J95" s="1">
        <v>45643</v>
      </c>
      <c r="K95">
        <v>8000000</v>
      </c>
      <c r="L95" t="s">
        <v>52</v>
      </c>
      <c r="M95">
        <v>681</v>
      </c>
      <c r="N95" t="s">
        <v>482</v>
      </c>
      <c r="O95">
        <v>2023</v>
      </c>
      <c r="P95" t="s">
        <v>495</v>
      </c>
    </row>
    <row r="96" spans="1:16" x14ac:dyDescent="0.3">
      <c r="A96" t="s">
        <v>135</v>
      </c>
      <c r="B96" s="1">
        <v>45419</v>
      </c>
      <c r="C96" t="s">
        <v>22</v>
      </c>
      <c r="D96" t="s">
        <v>14</v>
      </c>
      <c r="E96" t="s">
        <v>15</v>
      </c>
      <c r="F96" t="s">
        <v>25</v>
      </c>
      <c r="G96">
        <v>3200000</v>
      </c>
      <c r="H96">
        <v>1100000</v>
      </c>
      <c r="I96" t="s">
        <v>26</v>
      </c>
      <c r="J96" s="1">
        <v>45694</v>
      </c>
      <c r="K96">
        <v>8000000</v>
      </c>
      <c r="L96" t="s">
        <v>29</v>
      </c>
      <c r="M96">
        <v>692</v>
      </c>
      <c r="N96" t="s">
        <v>480</v>
      </c>
      <c r="O96">
        <v>2021</v>
      </c>
      <c r="P96" t="s">
        <v>495</v>
      </c>
    </row>
    <row r="97" spans="1:16" x14ac:dyDescent="0.3">
      <c r="A97" t="s">
        <v>136</v>
      </c>
      <c r="B97" s="1">
        <v>45308</v>
      </c>
      <c r="C97" t="s">
        <v>13</v>
      </c>
      <c r="D97" t="s">
        <v>14</v>
      </c>
      <c r="E97" t="s">
        <v>15</v>
      </c>
      <c r="F97" t="s">
        <v>16</v>
      </c>
      <c r="G97">
        <v>5800000</v>
      </c>
      <c r="H97">
        <v>5800000</v>
      </c>
      <c r="I97" t="s">
        <v>20</v>
      </c>
      <c r="J97" s="1">
        <v>45730</v>
      </c>
      <c r="K97">
        <v>8500000</v>
      </c>
      <c r="L97" t="s">
        <v>29</v>
      </c>
      <c r="M97">
        <v>0</v>
      </c>
      <c r="N97" t="s">
        <v>480</v>
      </c>
      <c r="O97">
        <v>2021</v>
      </c>
      <c r="P97" t="s">
        <v>494</v>
      </c>
    </row>
    <row r="98" spans="1:16" x14ac:dyDescent="0.3">
      <c r="A98" t="s">
        <v>137</v>
      </c>
      <c r="B98" s="1">
        <v>45524</v>
      </c>
      <c r="C98" t="s">
        <v>13</v>
      </c>
      <c r="D98" t="s">
        <v>14</v>
      </c>
      <c r="E98" t="s">
        <v>15</v>
      </c>
      <c r="F98" t="s">
        <v>51</v>
      </c>
      <c r="G98">
        <v>10300000</v>
      </c>
      <c r="H98">
        <v>0</v>
      </c>
      <c r="I98" t="s">
        <v>17</v>
      </c>
      <c r="J98" s="1">
        <v>46173</v>
      </c>
      <c r="K98">
        <v>8500000</v>
      </c>
      <c r="L98" t="s">
        <v>40</v>
      </c>
      <c r="M98">
        <v>0</v>
      </c>
      <c r="N98" t="s">
        <v>480</v>
      </c>
      <c r="O98">
        <v>2021</v>
      </c>
      <c r="P98" t="s">
        <v>476</v>
      </c>
    </row>
    <row r="99" spans="1:16" x14ac:dyDescent="0.3">
      <c r="A99" t="s">
        <v>138</v>
      </c>
      <c r="B99" s="1">
        <v>45482</v>
      </c>
      <c r="C99" t="s">
        <v>22</v>
      </c>
      <c r="D99" t="s">
        <v>23</v>
      </c>
      <c r="E99" t="s">
        <v>24</v>
      </c>
      <c r="F99" t="s">
        <v>51</v>
      </c>
      <c r="G99">
        <v>10150000</v>
      </c>
      <c r="H99">
        <v>10150000</v>
      </c>
      <c r="I99" t="s">
        <v>20</v>
      </c>
      <c r="J99" s="1">
        <v>45728</v>
      </c>
      <c r="K99">
        <v>8000000</v>
      </c>
      <c r="L99" t="s">
        <v>29</v>
      </c>
      <c r="M99">
        <v>0</v>
      </c>
      <c r="N99" t="s">
        <v>481</v>
      </c>
      <c r="O99">
        <v>2022</v>
      </c>
      <c r="P99" t="s">
        <v>494</v>
      </c>
    </row>
    <row r="100" spans="1:16" x14ac:dyDescent="0.3">
      <c r="A100" t="s">
        <v>139</v>
      </c>
      <c r="B100" s="1">
        <v>45537</v>
      </c>
      <c r="C100" t="s">
        <v>28</v>
      </c>
      <c r="D100" t="s">
        <v>23</v>
      </c>
      <c r="E100" t="s">
        <v>24</v>
      </c>
      <c r="F100" t="s">
        <v>33</v>
      </c>
      <c r="G100">
        <v>8600000</v>
      </c>
      <c r="H100">
        <v>8600000</v>
      </c>
      <c r="I100" t="s">
        <v>20</v>
      </c>
      <c r="J100" s="1">
        <v>46114</v>
      </c>
      <c r="K100">
        <v>7000000</v>
      </c>
      <c r="L100" t="s">
        <v>18</v>
      </c>
      <c r="M100">
        <v>0</v>
      </c>
      <c r="N100" t="s">
        <v>481</v>
      </c>
      <c r="O100">
        <v>2022</v>
      </c>
      <c r="P100" t="s">
        <v>494</v>
      </c>
    </row>
    <row r="101" spans="1:16" x14ac:dyDescent="0.3">
      <c r="A101" t="s">
        <v>140</v>
      </c>
      <c r="B101" s="1">
        <v>45579</v>
      </c>
      <c r="C101" t="s">
        <v>31</v>
      </c>
      <c r="D101" t="s">
        <v>44</v>
      </c>
      <c r="E101" t="s">
        <v>45</v>
      </c>
      <c r="F101" t="s">
        <v>33</v>
      </c>
      <c r="G101">
        <v>8250000</v>
      </c>
      <c r="H101">
        <v>8250000</v>
      </c>
      <c r="I101" t="s">
        <v>20</v>
      </c>
      <c r="J101" s="1">
        <v>46218</v>
      </c>
      <c r="K101">
        <v>7500000</v>
      </c>
      <c r="L101" t="s">
        <v>18</v>
      </c>
      <c r="M101">
        <v>0</v>
      </c>
      <c r="N101" t="s">
        <v>482</v>
      </c>
      <c r="O101">
        <v>2023</v>
      </c>
      <c r="P101" t="s">
        <v>494</v>
      </c>
    </row>
    <row r="102" spans="1:16" x14ac:dyDescent="0.3">
      <c r="A102" t="s">
        <v>141</v>
      </c>
      <c r="B102" s="1">
        <v>45597</v>
      </c>
      <c r="C102" t="s">
        <v>22</v>
      </c>
      <c r="D102" t="s">
        <v>14</v>
      </c>
      <c r="E102" t="s">
        <v>15</v>
      </c>
      <c r="F102" t="s">
        <v>16</v>
      </c>
      <c r="G102">
        <v>5150000</v>
      </c>
      <c r="H102">
        <v>5150000</v>
      </c>
      <c r="I102" t="s">
        <v>20</v>
      </c>
      <c r="J102" s="1">
        <v>45955</v>
      </c>
      <c r="K102">
        <v>8000000</v>
      </c>
      <c r="L102" t="s">
        <v>38</v>
      </c>
      <c r="M102">
        <v>0</v>
      </c>
      <c r="N102" t="s">
        <v>480</v>
      </c>
      <c r="O102">
        <v>2021</v>
      </c>
      <c r="P102" t="s">
        <v>494</v>
      </c>
    </row>
    <row r="103" spans="1:16" x14ac:dyDescent="0.3">
      <c r="A103" t="s">
        <v>142</v>
      </c>
      <c r="B103" s="1">
        <v>45483</v>
      </c>
      <c r="C103" t="s">
        <v>35</v>
      </c>
      <c r="D103" t="s">
        <v>23</v>
      </c>
      <c r="E103" t="s">
        <v>24</v>
      </c>
      <c r="F103" t="s">
        <v>51</v>
      </c>
      <c r="G103">
        <v>10700000</v>
      </c>
      <c r="H103">
        <v>10700000</v>
      </c>
      <c r="I103" t="s">
        <v>20</v>
      </c>
      <c r="J103" s="1">
        <v>46279</v>
      </c>
      <c r="K103">
        <v>9000000</v>
      </c>
      <c r="L103" t="s">
        <v>476</v>
      </c>
      <c r="M103">
        <v>0</v>
      </c>
      <c r="N103" t="s">
        <v>481</v>
      </c>
      <c r="O103">
        <v>2022</v>
      </c>
      <c r="P103" t="s">
        <v>494</v>
      </c>
    </row>
    <row r="104" spans="1:16" x14ac:dyDescent="0.3">
      <c r="A104" t="s">
        <v>143</v>
      </c>
      <c r="B104" s="1">
        <v>45629</v>
      </c>
      <c r="C104" t="s">
        <v>28</v>
      </c>
      <c r="D104" t="s">
        <v>44</v>
      </c>
      <c r="E104" t="s">
        <v>45</v>
      </c>
      <c r="F104" t="s">
        <v>16</v>
      </c>
      <c r="G104">
        <v>5750000</v>
      </c>
      <c r="H104">
        <v>650000</v>
      </c>
      <c r="I104" t="s">
        <v>26</v>
      </c>
      <c r="J104" s="1">
        <v>45838</v>
      </c>
      <c r="K104">
        <v>7000000</v>
      </c>
      <c r="L104" t="s">
        <v>38</v>
      </c>
      <c r="M104">
        <v>482</v>
      </c>
      <c r="N104" t="s">
        <v>482</v>
      </c>
      <c r="O104">
        <v>2023</v>
      </c>
      <c r="P104" t="s">
        <v>495</v>
      </c>
    </row>
    <row r="105" spans="1:16" x14ac:dyDescent="0.3">
      <c r="A105" t="s">
        <v>144</v>
      </c>
      <c r="B105" s="1">
        <v>45580</v>
      </c>
      <c r="C105" t="s">
        <v>22</v>
      </c>
      <c r="D105" t="s">
        <v>14</v>
      </c>
      <c r="E105" t="s">
        <v>15</v>
      </c>
      <c r="F105" t="s">
        <v>25</v>
      </c>
      <c r="G105">
        <v>3200000</v>
      </c>
      <c r="H105">
        <v>3200000</v>
      </c>
      <c r="I105" t="s">
        <v>20</v>
      </c>
      <c r="J105" s="1">
        <v>46314</v>
      </c>
      <c r="K105">
        <v>8000000</v>
      </c>
      <c r="L105" t="s">
        <v>476</v>
      </c>
      <c r="M105">
        <v>0</v>
      </c>
      <c r="N105" t="s">
        <v>480</v>
      </c>
      <c r="O105">
        <v>2021</v>
      </c>
      <c r="P105" t="s">
        <v>494</v>
      </c>
    </row>
    <row r="106" spans="1:16" x14ac:dyDescent="0.3">
      <c r="A106" t="s">
        <v>145</v>
      </c>
      <c r="B106" s="1">
        <v>45481</v>
      </c>
      <c r="C106" t="s">
        <v>31</v>
      </c>
      <c r="D106" t="s">
        <v>23</v>
      </c>
      <c r="E106" t="s">
        <v>24</v>
      </c>
      <c r="F106" t="s">
        <v>16</v>
      </c>
      <c r="G106">
        <v>5000000</v>
      </c>
      <c r="H106">
        <v>5000000</v>
      </c>
      <c r="I106" t="s">
        <v>20</v>
      </c>
      <c r="J106" s="1">
        <v>45892</v>
      </c>
      <c r="K106">
        <v>7500000</v>
      </c>
      <c r="L106" t="s">
        <v>18</v>
      </c>
      <c r="M106">
        <v>0</v>
      </c>
      <c r="N106" t="s">
        <v>481</v>
      </c>
      <c r="O106">
        <v>2022</v>
      </c>
      <c r="P106" t="s">
        <v>494</v>
      </c>
    </row>
    <row r="107" spans="1:16" x14ac:dyDescent="0.3">
      <c r="A107" t="s">
        <v>146</v>
      </c>
      <c r="B107" s="1">
        <v>45558</v>
      </c>
      <c r="C107" t="s">
        <v>13</v>
      </c>
      <c r="D107" t="s">
        <v>23</v>
      </c>
      <c r="E107" t="s">
        <v>24</v>
      </c>
      <c r="F107" t="s">
        <v>16</v>
      </c>
      <c r="G107">
        <v>4150000</v>
      </c>
      <c r="H107">
        <v>0</v>
      </c>
      <c r="I107" t="s">
        <v>17</v>
      </c>
      <c r="J107" s="1">
        <v>46030</v>
      </c>
      <c r="K107">
        <v>8500000</v>
      </c>
      <c r="L107" t="s">
        <v>29</v>
      </c>
      <c r="M107">
        <v>0</v>
      </c>
      <c r="N107" t="s">
        <v>481</v>
      </c>
      <c r="O107">
        <v>2022</v>
      </c>
      <c r="P107" t="s">
        <v>476</v>
      </c>
    </row>
    <row r="108" spans="1:16" x14ac:dyDescent="0.3">
      <c r="A108" t="s">
        <v>147</v>
      </c>
      <c r="B108" s="1">
        <v>45551</v>
      </c>
      <c r="C108" t="s">
        <v>35</v>
      </c>
      <c r="D108" t="s">
        <v>23</v>
      </c>
      <c r="E108" t="s">
        <v>24</v>
      </c>
      <c r="F108" t="s">
        <v>33</v>
      </c>
      <c r="G108">
        <v>7750000</v>
      </c>
      <c r="H108">
        <v>2100000</v>
      </c>
      <c r="I108" t="s">
        <v>26</v>
      </c>
      <c r="J108" s="1">
        <v>46406</v>
      </c>
      <c r="K108">
        <v>9000000</v>
      </c>
      <c r="L108" t="s">
        <v>476</v>
      </c>
      <c r="M108">
        <v>560</v>
      </c>
      <c r="N108" t="s">
        <v>481</v>
      </c>
      <c r="O108">
        <v>2022</v>
      </c>
      <c r="P108" t="s">
        <v>495</v>
      </c>
    </row>
    <row r="109" spans="1:16" x14ac:dyDescent="0.3">
      <c r="A109" t="s">
        <v>148</v>
      </c>
      <c r="B109" s="1">
        <v>45568</v>
      </c>
      <c r="C109" t="s">
        <v>28</v>
      </c>
      <c r="D109" t="s">
        <v>44</v>
      </c>
      <c r="E109" t="s">
        <v>45</v>
      </c>
      <c r="F109" t="s">
        <v>16</v>
      </c>
      <c r="G109">
        <v>5000000</v>
      </c>
      <c r="H109">
        <v>5000000</v>
      </c>
      <c r="I109" t="s">
        <v>20</v>
      </c>
      <c r="J109" s="1">
        <v>45862</v>
      </c>
      <c r="K109">
        <v>7000000</v>
      </c>
      <c r="L109" t="s">
        <v>40</v>
      </c>
      <c r="M109">
        <v>0</v>
      </c>
      <c r="N109" t="s">
        <v>482</v>
      </c>
      <c r="O109">
        <v>2023</v>
      </c>
      <c r="P109" t="s">
        <v>494</v>
      </c>
    </row>
    <row r="110" spans="1:16" x14ac:dyDescent="0.3">
      <c r="A110" t="s">
        <v>149</v>
      </c>
      <c r="B110" s="1">
        <v>45324</v>
      </c>
      <c r="C110" t="s">
        <v>28</v>
      </c>
      <c r="D110" t="s">
        <v>23</v>
      </c>
      <c r="E110" t="s">
        <v>24</v>
      </c>
      <c r="F110" t="s">
        <v>51</v>
      </c>
      <c r="G110">
        <v>11300000</v>
      </c>
      <c r="H110">
        <v>2050000</v>
      </c>
      <c r="I110" t="s">
        <v>26</v>
      </c>
      <c r="J110" s="1">
        <v>45794</v>
      </c>
      <c r="K110">
        <v>7000000</v>
      </c>
      <c r="L110" t="s">
        <v>40</v>
      </c>
      <c r="M110">
        <v>787</v>
      </c>
      <c r="N110" t="s">
        <v>481</v>
      </c>
      <c r="O110">
        <v>2022</v>
      </c>
      <c r="P110" t="s">
        <v>495</v>
      </c>
    </row>
    <row r="111" spans="1:16" x14ac:dyDescent="0.3">
      <c r="A111" t="s">
        <v>150</v>
      </c>
      <c r="B111" s="1">
        <v>45440</v>
      </c>
      <c r="C111" t="s">
        <v>31</v>
      </c>
      <c r="D111" t="s">
        <v>44</v>
      </c>
      <c r="E111" t="s">
        <v>45</v>
      </c>
      <c r="F111" t="s">
        <v>33</v>
      </c>
      <c r="G111">
        <v>7850000</v>
      </c>
      <c r="H111">
        <v>2200000</v>
      </c>
      <c r="I111" t="s">
        <v>26</v>
      </c>
      <c r="J111" s="1">
        <v>46308</v>
      </c>
      <c r="K111">
        <v>7500000</v>
      </c>
      <c r="L111" t="s">
        <v>40</v>
      </c>
      <c r="M111">
        <v>671</v>
      </c>
      <c r="N111" t="s">
        <v>482</v>
      </c>
      <c r="O111">
        <v>2023</v>
      </c>
      <c r="P111" t="s">
        <v>495</v>
      </c>
    </row>
    <row r="112" spans="1:16" x14ac:dyDescent="0.3">
      <c r="A112" t="s">
        <v>151</v>
      </c>
      <c r="B112" s="1">
        <v>45416</v>
      </c>
      <c r="C112" t="s">
        <v>28</v>
      </c>
      <c r="D112" t="s">
        <v>23</v>
      </c>
      <c r="E112" t="s">
        <v>24</v>
      </c>
      <c r="F112" t="s">
        <v>16</v>
      </c>
      <c r="G112">
        <v>5150000</v>
      </c>
      <c r="H112">
        <v>5150000</v>
      </c>
      <c r="I112" t="s">
        <v>20</v>
      </c>
      <c r="J112" s="1">
        <v>45885</v>
      </c>
      <c r="K112">
        <v>7000000</v>
      </c>
      <c r="L112" t="s">
        <v>476</v>
      </c>
      <c r="M112">
        <v>0</v>
      </c>
      <c r="N112" t="s">
        <v>481</v>
      </c>
      <c r="O112">
        <v>2022</v>
      </c>
      <c r="P112" t="s">
        <v>494</v>
      </c>
    </row>
    <row r="113" spans="1:16" x14ac:dyDescent="0.3">
      <c r="A113" t="s">
        <v>152</v>
      </c>
      <c r="B113" s="1">
        <v>45622</v>
      </c>
      <c r="C113" t="s">
        <v>35</v>
      </c>
      <c r="D113" t="s">
        <v>14</v>
      </c>
      <c r="E113" t="s">
        <v>15</v>
      </c>
      <c r="F113" t="s">
        <v>33</v>
      </c>
      <c r="G113">
        <v>6700000</v>
      </c>
      <c r="H113">
        <v>6700000</v>
      </c>
      <c r="I113" t="s">
        <v>20</v>
      </c>
      <c r="J113" s="1">
        <v>46018</v>
      </c>
      <c r="K113">
        <v>9000000</v>
      </c>
      <c r="L113" t="s">
        <v>476</v>
      </c>
      <c r="M113">
        <v>0</v>
      </c>
      <c r="N113" t="s">
        <v>480</v>
      </c>
      <c r="O113">
        <v>2021</v>
      </c>
      <c r="P113" t="s">
        <v>494</v>
      </c>
    </row>
    <row r="114" spans="1:16" x14ac:dyDescent="0.3">
      <c r="A114" t="s">
        <v>153</v>
      </c>
      <c r="B114" s="1">
        <v>45527</v>
      </c>
      <c r="C114" t="s">
        <v>31</v>
      </c>
      <c r="D114" t="s">
        <v>23</v>
      </c>
      <c r="E114" t="s">
        <v>24</v>
      </c>
      <c r="F114" t="s">
        <v>16</v>
      </c>
      <c r="G114">
        <v>4300000</v>
      </c>
      <c r="H114">
        <v>0</v>
      </c>
      <c r="I114" t="s">
        <v>17</v>
      </c>
      <c r="J114" s="1">
        <v>46266</v>
      </c>
      <c r="K114">
        <v>7500000</v>
      </c>
      <c r="L114" t="s">
        <v>476</v>
      </c>
      <c r="M114">
        <v>0</v>
      </c>
      <c r="N114" t="s">
        <v>481</v>
      </c>
      <c r="O114">
        <v>2022</v>
      </c>
      <c r="P114" t="s">
        <v>476</v>
      </c>
    </row>
    <row r="115" spans="1:16" x14ac:dyDescent="0.3">
      <c r="A115" t="s">
        <v>154</v>
      </c>
      <c r="B115" s="1">
        <v>45476</v>
      </c>
      <c r="C115" t="s">
        <v>35</v>
      </c>
      <c r="D115" t="s">
        <v>44</v>
      </c>
      <c r="E115" t="s">
        <v>45</v>
      </c>
      <c r="F115" t="s">
        <v>33</v>
      </c>
      <c r="G115">
        <v>8600000</v>
      </c>
      <c r="H115">
        <v>2450000</v>
      </c>
      <c r="I115" t="s">
        <v>26</v>
      </c>
      <c r="J115" s="1">
        <v>46124</v>
      </c>
      <c r="K115">
        <v>9000000</v>
      </c>
      <c r="L115" t="s">
        <v>38</v>
      </c>
      <c r="M115">
        <v>635</v>
      </c>
      <c r="N115" t="s">
        <v>482</v>
      </c>
      <c r="O115">
        <v>2023</v>
      </c>
      <c r="P115" t="s">
        <v>495</v>
      </c>
    </row>
    <row r="116" spans="1:16" x14ac:dyDescent="0.3">
      <c r="A116" t="s">
        <v>155</v>
      </c>
      <c r="B116" s="1">
        <v>45427</v>
      </c>
      <c r="C116" t="s">
        <v>22</v>
      </c>
      <c r="D116" t="s">
        <v>14</v>
      </c>
      <c r="E116" t="s">
        <v>15</v>
      </c>
      <c r="F116" t="s">
        <v>33</v>
      </c>
      <c r="G116">
        <v>6800000</v>
      </c>
      <c r="H116">
        <v>6800000</v>
      </c>
      <c r="I116" t="s">
        <v>20</v>
      </c>
      <c r="J116" s="1">
        <v>45609</v>
      </c>
      <c r="K116">
        <v>8000000</v>
      </c>
      <c r="L116" t="s">
        <v>476</v>
      </c>
      <c r="M116">
        <v>0</v>
      </c>
      <c r="N116" t="s">
        <v>480</v>
      </c>
      <c r="O116">
        <v>2021</v>
      </c>
      <c r="P116" t="s">
        <v>494</v>
      </c>
    </row>
    <row r="117" spans="1:16" x14ac:dyDescent="0.3">
      <c r="A117" t="s">
        <v>156</v>
      </c>
      <c r="B117" s="1">
        <v>45648</v>
      </c>
      <c r="C117" t="s">
        <v>13</v>
      </c>
      <c r="D117" t="s">
        <v>14</v>
      </c>
      <c r="E117" t="s">
        <v>15</v>
      </c>
      <c r="F117" t="s">
        <v>16</v>
      </c>
      <c r="G117">
        <v>5400000</v>
      </c>
      <c r="H117">
        <v>0</v>
      </c>
      <c r="I117" t="s">
        <v>17</v>
      </c>
      <c r="J117" s="1">
        <v>45833</v>
      </c>
      <c r="K117">
        <v>8500000</v>
      </c>
      <c r="L117" t="s">
        <v>38</v>
      </c>
      <c r="M117">
        <v>0</v>
      </c>
      <c r="N117" t="s">
        <v>480</v>
      </c>
      <c r="O117">
        <v>2021</v>
      </c>
      <c r="P117" t="s">
        <v>476</v>
      </c>
    </row>
    <row r="118" spans="1:16" x14ac:dyDescent="0.3">
      <c r="A118" t="s">
        <v>157</v>
      </c>
      <c r="B118" s="1">
        <v>45296</v>
      </c>
      <c r="C118" t="s">
        <v>28</v>
      </c>
      <c r="D118" t="s">
        <v>14</v>
      </c>
      <c r="E118" t="s">
        <v>15</v>
      </c>
      <c r="F118" t="s">
        <v>16</v>
      </c>
      <c r="G118">
        <v>4550000</v>
      </c>
      <c r="H118">
        <v>4550000</v>
      </c>
      <c r="I118" t="s">
        <v>20</v>
      </c>
      <c r="J118" s="1">
        <v>45585</v>
      </c>
      <c r="K118">
        <v>7000000</v>
      </c>
      <c r="L118" t="s">
        <v>476</v>
      </c>
      <c r="M118">
        <v>0</v>
      </c>
      <c r="N118" t="s">
        <v>480</v>
      </c>
      <c r="O118">
        <v>2021</v>
      </c>
      <c r="P118" t="s">
        <v>494</v>
      </c>
    </row>
    <row r="119" spans="1:16" x14ac:dyDescent="0.3">
      <c r="A119" t="s">
        <v>158</v>
      </c>
      <c r="B119" s="1">
        <v>45486</v>
      </c>
      <c r="C119" t="s">
        <v>28</v>
      </c>
      <c r="D119" t="s">
        <v>23</v>
      </c>
      <c r="E119" t="s">
        <v>24</v>
      </c>
      <c r="F119" t="s">
        <v>33</v>
      </c>
      <c r="G119">
        <v>7900000</v>
      </c>
      <c r="H119">
        <v>7900000</v>
      </c>
      <c r="I119" t="s">
        <v>20</v>
      </c>
      <c r="J119" s="1">
        <v>46166</v>
      </c>
      <c r="K119">
        <v>7000000</v>
      </c>
      <c r="L119" t="s">
        <v>476</v>
      </c>
      <c r="M119">
        <v>0</v>
      </c>
      <c r="N119" t="s">
        <v>481</v>
      </c>
      <c r="O119">
        <v>2022</v>
      </c>
      <c r="P119" t="s">
        <v>494</v>
      </c>
    </row>
    <row r="120" spans="1:16" x14ac:dyDescent="0.3">
      <c r="A120" t="s">
        <v>159</v>
      </c>
      <c r="B120" s="1">
        <v>45355</v>
      </c>
      <c r="C120" t="s">
        <v>13</v>
      </c>
      <c r="D120" t="s">
        <v>23</v>
      </c>
      <c r="E120" t="s">
        <v>24</v>
      </c>
      <c r="F120" t="s">
        <v>51</v>
      </c>
      <c r="G120">
        <v>12550000</v>
      </c>
      <c r="H120">
        <v>2000000</v>
      </c>
      <c r="I120" t="s">
        <v>26</v>
      </c>
      <c r="J120" s="1">
        <v>45606</v>
      </c>
      <c r="K120">
        <v>8500000</v>
      </c>
      <c r="L120" t="s">
        <v>42</v>
      </c>
      <c r="M120">
        <v>756</v>
      </c>
      <c r="N120" t="s">
        <v>481</v>
      </c>
      <c r="O120">
        <v>2022</v>
      </c>
      <c r="P120" t="s">
        <v>495</v>
      </c>
    </row>
    <row r="121" spans="1:16" x14ac:dyDescent="0.3">
      <c r="A121" t="s">
        <v>160</v>
      </c>
      <c r="B121" s="1">
        <v>45450</v>
      </c>
      <c r="C121" t="s">
        <v>28</v>
      </c>
      <c r="D121" t="s">
        <v>23</v>
      </c>
      <c r="E121" t="s">
        <v>24</v>
      </c>
      <c r="F121" t="s">
        <v>51</v>
      </c>
      <c r="G121">
        <v>10550000</v>
      </c>
      <c r="H121">
        <v>0</v>
      </c>
      <c r="I121" t="s">
        <v>17</v>
      </c>
      <c r="J121" s="1">
        <v>46349</v>
      </c>
      <c r="K121">
        <v>7000000</v>
      </c>
      <c r="L121" t="s">
        <v>476</v>
      </c>
      <c r="M121">
        <v>0</v>
      </c>
      <c r="N121" t="s">
        <v>481</v>
      </c>
      <c r="O121">
        <v>2022</v>
      </c>
      <c r="P121" t="s">
        <v>476</v>
      </c>
    </row>
    <row r="122" spans="1:16" x14ac:dyDescent="0.3">
      <c r="A122" t="s">
        <v>161</v>
      </c>
      <c r="B122" s="1">
        <v>45603</v>
      </c>
      <c r="C122" t="s">
        <v>31</v>
      </c>
      <c r="D122" t="s">
        <v>14</v>
      </c>
      <c r="E122" t="s">
        <v>15</v>
      </c>
      <c r="F122" t="s">
        <v>16</v>
      </c>
      <c r="G122">
        <v>4950000</v>
      </c>
      <c r="H122">
        <v>900000</v>
      </c>
      <c r="I122" t="s">
        <v>26</v>
      </c>
      <c r="J122" s="1">
        <v>46438</v>
      </c>
      <c r="K122">
        <v>7500000</v>
      </c>
      <c r="L122" t="s">
        <v>476</v>
      </c>
      <c r="M122">
        <v>508</v>
      </c>
      <c r="N122" t="s">
        <v>480</v>
      </c>
      <c r="O122">
        <v>2021</v>
      </c>
      <c r="P122" t="s">
        <v>495</v>
      </c>
    </row>
    <row r="123" spans="1:16" x14ac:dyDescent="0.3">
      <c r="A123" t="s">
        <v>162</v>
      </c>
      <c r="B123" s="1">
        <v>45418</v>
      </c>
      <c r="C123" t="s">
        <v>31</v>
      </c>
      <c r="D123" t="s">
        <v>14</v>
      </c>
      <c r="E123" t="s">
        <v>15</v>
      </c>
      <c r="F123" t="s">
        <v>33</v>
      </c>
      <c r="G123">
        <v>8800000</v>
      </c>
      <c r="H123">
        <v>8800000</v>
      </c>
      <c r="I123" t="s">
        <v>20</v>
      </c>
      <c r="J123" s="1">
        <v>46200</v>
      </c>
      <c r="K123">
        <v>7500000</v>
      </c>
      <c r="L123" t="s">
        <v>29</v>
      </c>
      <c r="M123">
        <v>0</v>
      </c>
      <c r="N123" t="s">
        <v>480</v>
      </c>
      <c r="O123">
        <v>2021</v>
      </c>
      <c r="P123" t="s">
        <v>494</v>
      </c>
    </row>
    <row r="124" spans="1:16" x14ac:dyDescent="0.3">
      <c r="A124" t="s">
        <v>163</v>
      </c>
      <c r="B124" s="1">
        <v>45550</v>
      </c>
      <c r="C124" t="s">
        <v>13</v>
      </c>
      <c r="D124" t="s">
        <v>14</v>
      </c>
      <c r="E124" t="s">
        <v>15</v>
      </c>
      <c r="F124" t="s">
        <v>25</v>
      </c>
      <c r="G124">
        <v>3150000</v>
      </c>
      <c r="H124">
        <v>1100000</v>
      </c>
      <c r="I124" t="s">
        <v>26</v>
      </c>
      <c r="J124" s="1">
        <v>45775</v>
      </c>
      <c r="K124">
        <v>8500000</v>
      </c>
      <c r="L124" t="s">
        <v>42</v>
      </c>
      <c r="M124">
        <v>561</v>
      </c>
      <c r="N124" t="s">
        <v>480</v>
      </c>
      <c r="O124">
        <v>2021</v>
      </c>
      <c r="P124" t="s">
        <v>495</v>
      </c>
    </row>
    <row r="125" spans="1:16" x14ac:dyDescent="0.3">
      <c r="A125" t="s">
        <v>164</v>
      </c>
      <c r="B125" s="1">
        <v>45655</v>
      </c>
      <c r="C125" t="s">
        <v>22</v>
      </c>
      <c r="D125" t="s">
        <v>23</v>
      </c>
      <c r="E125" t="s">
        <v>24</v>
      </c>
      <c r="F125" t="s">
        <v>16</v>
      </c>
      <c r="G125">
        <v>5800000</v>
      </c>
      <c r="H125">
        <v>5800000</v>
      </c>
      <c r="I125" t="s">
        <v>20</v>
      </c>
      <c r="J125" s="1">
        <v>46552</v>
      </c>
      <c r="K125">
        <v>8000000</v>
      </c>
      <c r="L125" t="s">
        <v>52</v>
      </c>
      <c r="M125">
        <v>0</v>
      </c>
      <c r="N125" t="s">
        <v>481</v>
      </c>
      <c r="O125">
        <v>2022</v>
      </c>
      <c r="P125" t="s">
        <v>494</v>
      </c>
    </row>
    <row r="126" spans="1:16" x14ac:dyDescent="0.3">
      <c r="A126" t="s">
        <v>165</v>
      </c>
      <c r="B126" s="1">
        <v>45653</v>
      </c>
      <c r="C126" t="s">
        <v>31</v>
      </c>
      <c r="D126" t="s">
        <v>23</v>
      </c>
      <c r="E126" t="s">
        <v>24</v>
      </c>
      <c r="F126" t="s">
        <v>16</v>
      </c>
      <c r="G126">
        <v>5150000</v>
      </c>
      <c r="H126">
        <v>1150000</v>
      </c>
      <c r="I126" t="s">
        <v>26</v>
      </c>
      <c r="J126" s="1">
        <v>46044</v>
      </c>
      <c r="K126">
        <v>7500000</v>
      </c>
      <c r="L126" t="s">
        <v>476</v>
      </c>
      <c r="M126">
        <v>458</v>
      </c>
      <c r="N126" t="s">
        <v>481</v>
      </c>
      <c r="O126">
        <v>2022</v>
      </c>
      <c r="P126" t="s">
        <v>495</v>
      </c>
    </row>
    <row r="127" spans="1:16" x14ac:dyDescent="0.3">
      <c r="A127" t="s">
        <v>167</v>
      </c>
      <c r="B127" s="1">
        <v>45404</v>
      </c>
      <c r="C127" t="s">
        <v>35</v>
      </c>
      <c r="D127" t="s">
        <v>14</v>
      </c>
      <c r="E127" t="s">
        <v>15</v>
      </c>
      <c r="F127" t="s">
        <v>33</v>
      </c>
      <c r="G127">
        <v>7700000</v>
      </c>
      <c r="H127">
        <v>7700000</v>
      </c>
      <c r="I127" t="s">
        <v>20</v>
      </c>
      <c r="J127" s="1">
        <v>46052</v>
      </c>
      <c r="K127">
        <v>9000000</v>
      </c>
      <c r="L127" t="s">
        <v>476</v>
      </c>
      <c r="M127">
        <v>0</v>
      </c>
      <c r="N127" t="s">
        <v>480</v>
      </c>
      <c r="O127">
        <v>2021</v>
      </c>
      <c r="P127" t="s">
        <v>494</v>
      </c>
    </row>
    <row r="128" spans="1:16" x14ac:dyDescent="0.3">
      <c r="A128" t="s">
        <v>168</v>
      </c>
      <c r="B128" s="1">
        <v>45441</v>
      </c>
      <c r="C128" t="s">
        <v>22</v>
      </c>
      <c r="D128" t="s">
        <v>23</v>
      </c>
      <c r="E128" t="s">
        <v>24</v>
      </c>
      <c r="F128" t="s">
        <v>33</v>
      </c>
      <c r="G128">
        <v>8600000</v>
      </c>
      <c r="H128">
        <v>8600000</v>
      </c>
      <c r="I128" t="s">
        <v>20</v>
      </c>
      <c r="J128" s="1">
        <v>46269</v>
      </c>
      <c r="K128">
        <v>8000000</v>
      </c>
      <c r="L128" t="s">
        <v>18</v>
      </c>
      <c r="M128">
        <v>0</v>
      </c>
      <c r="N128" t="s">
        <v>481</v>
      </c>
      <c r="O128">
        <v>2022</v>
      </c>
      <c r="P128" t="s">
        <v>494</v>
      </c>
    </row>
    <row r="129" spans="1:16" x14ac:dyDescent="0.3">
      <c r="A129" t="s">
        <v>169</v>
      </c>
      <c r="B129" s="1">
        <v>45618</v>
      </c>
      <c r="C129" t="s">
        <v>28</v>
      </c>
      <c r="D129" t="s">
        <v>14</v>
      </c>
      <c r="E129" t="s">
        <v>15</v>
      </c>
      <c r="F129" t="s">
        <v>16</v>
      </c>
      <c r="G129">
        <v>5950000</v>
      </c>
      <c r="H129">
        <v>5950000</v>
      </c>
      <c r="I129" t="s">
        <v>20</v>
      </c>
      <c r="J129" s="1">
        <v>45933</v>
      </c>
      <c r="K129">
        <v>7000000</v>
      </c>
      <c r="L129" t="s">
        <v>476</v>
      </c>
      <c r="M129">
        <v>0</v>
      </c>
      <c r="N129" t="s">
        <v>480</v>
      </c>
      <c r="O129">
        <v>2021</v>
      </c>
      <c r="P129" t="s">
        <v>494</v>
      </c>
    </row>
    <row r="130" spans="1:16" x14ac:dyDescent="0.3">
      <c r="A130" t="s">
        <v>170</v>
      </c>
      <c r="B130" s="1">
        <v>45522</v>
      </c>
      <c r="C130" t="s">
        <v>31</v>
      </c>
      <c r="D130" t="s">
        <v>44</v>
      </c>
      <c r="E130" t="s">
        <v>45</v>
      </c>
      <c r="F130" t="s">
        <v>33</v>
      </c>
      <c r="G130">
        <v>8100000</v>
      </c>
      <c r="H130">
        <v>8100000</v>
      </c>
      <c r="I130" t="s">
        <v>20</v>
      </c>
      <c r="J130" s="1">
        <v>45731</v>
      </c>
      <c r="K130">
        <v>7500000</v>
      </c>
      <c r="L130" t="s">
        <v>476</v>
      </c>
      <c r="M130">
        <v>0</v>
      </c>
      <c r="N130" t="s">
        <v>482</v>
      </c>
      <c r="O130">
        <v>2023</v>
      </c>
      <c r="P130" t="s">
        <v>494</v>
      </c>
    </row>
    <row r="131" spans="1:16" x14ac:dyDescent="0.3">
      <c r="A131" t="s">
        <v>171</v>
      </c>
      <c r="B131" s="1">
        <v>45485</v>
      </c>
      <c r="C131" t="s">
        <v>28</v>
      </c>
      <c r="D131" t="s">
        <v>14</v>
      </c>
      <c r="E131" t="s">
        <v>15</v>
      </c>
      <c r="F131" t="s">
        <v>33</v>
      </c>
      <c r="G131">
        <v>7200000</v>
      </c>
      <c r="H131">
        <v>7200000</v>
      </c>
      <c r="I131" t="s">
        <v>20</v>
      </c>
      <c r="J131" s="1">
        <v>46176</v>
      </c>
      <c r="K131">
        <v>7000000</v>
      </c>
      <c r="L131" t="s">
        <v>476</v>
      </c>
      <c r="M131">
        <v>0</v>
      </c>
      <c r="N131" t="s">
        <v>480</v>
      </c>
      <c r="O131">
        <v>2021</v>
      </c>
      <c r="P131" t="s">
        <v>494</v>
      </c>
    </row>
    <row r="132" spans="1:16" x14ac:dyDescent="0.3">
      <c r="A132" t="s">
        <v>172</v>
      </c>
      <c r="B132" s="1">
        <v>45329</v>
      </c>
      <c r="C132" t="s">
        <v>31</v>
      </c>
      <c r="D132" t="s">
        <v>44</v>
      </c>
      <c r="E132" t="s">
        <v>45</v>
      </c>
      <c r="F132" t="s">
        <v>33</v>
      </c>
      <c r="G132">
        <v>8850000</v>
      </c>
      <c r="H132">
        <v>8850000</v>
      </c>
      <c r="I132" t="s">
        <v>20</v>
      </c>
      <c r="J132" s="1">
        <v>45999</v>
      </c>
      <c r="K132">
        <v>7500000</v>
      </c>
      <c r="L132" t="s">
        <v>29</v>
      </c>
      <c r="M132">
        <v>0</v>
      </c>
      <c r="N132" t="s">
        <v>482</v>
      </c>
      <c r="O132">
        <v>2023</v>
      </c>
      <c r="P132" t="s">
        <v>494</v>
      </c>
    </row>
    <row r="133" spans="1:16" x14ac:dyDescent="0.3">
      <c r="A133" t="s">
        <v>173</v>
      </c>
      <c r="B133" s="1">
        <v>45434</v>
      </c>
      <c r="C133" t="s">
        <v>22</v>
      </c>
      <c r="D133" t="s">
        <v>14</v>
      </c>
      <c r="E133" t="s">
        <v>15</v>
      </c>
      <c r="F133" t="s">
        <v>16</v>
      </c>
      <c r="G133">
        <v>4700000</v>
      </c>
      <c r="H133">
        <v>4700000</v>
      </c>
      <c r="I133" t="s">
        <v>20</v>
      </c>
      <c r="J133" s="1">
        <v>46082</v>
      </c>
      <c r="K133">
        <v>8000000</v>
      </c>
      <c r="L133" t="s">
        <v>38</v>
      </c>
      <c r="M133">
        <v>0</v>
      </c>
      <c r="N133" t="s">
        <v>480</v>
      </c>
      <c r="O133">
        <v>2021</v>
      </c>
      <c r="P133" t="s">
        <v>494</v>
      </c>
    </row>
    <row r="134" spans="1:16" x14ac:dyDescent="0.3">
      <c r="A134" t="s">
        <v>174</v>
      </c>
      <c r="B134" s="1">
        <v>45372</v>
      </c>
      <c r="C134" t="s">
        <v>13</v>
      </c>
      <c r="D134" t="s">
        <v>23</v>
      </c>
      <c r="E134" t="s">
        <v>24</v>
      </c>
      <c r="F134" t="s">
        <v>16</v>
      </c>
      <c r="G134">
        <v>4700000</v>
      </c>
      <c r="H134">
        <v>650000</v>
      </c>
      <c r="I134" t="s">
        <v>26</v>
      </c>
      <c r="J134" s="1">
        <v>45878</v>
      </c>
      <c r="K134">
        <v>8500000</v>
      </c>
      <c r="L134" t="s">
        <v>40</v>
      </c>
      <c r="M134">
        <v>739</v>
      </c>
      <c r="N134" t="s">
        <v>481</v>
      </c>
      <c r="O134">
        <v>2022</v>
      </c>
      <c r="P134" t="s">
        <v>495</v>
      </c>
    </row>
    <row r="135" spans="1:16" x14ac:dyDescent="0.3">
      <c r="A135" t="s">
        <v>176</v>
      </c>
      <c r="B135" s="1">
        <v>45597</v>
      </c>
      <c r="C135" t="s">
        <v>28</v>
      </c>
      <c r="D135" t="s">
        <v>23</v>
      </c>
      <c r="E135" t="s">
        <v>24</v>
      </c>
      <c r="F135" t="s">
        <v>25</v>
      </c>
      <c r="G135">
        <v>2800000</v>
      </c>
      <c r="H135">
        <v>600000</v>
      </c>
      <c r="I135" t="s">
        <v>26</v>
      </c>
      <c r="J135" s="1">
        <v>45863</v>
      </c>
      <c r="K135">
        <v>7000000</v>
      </c>
      <c r="L135" t="s">
        <v>476</v>
      </c>
      <c r="M135">
        <v>514</v>
      </c>
      <c r="N135" t="s">
        <v>481</v>
      </c>
      <c r="O135">
        <v>2022</v>
      </c>
      <c r="P135" t="s">
        <v>495</v>
      </c>
    </row>
    <row r="136" spans="1:16" x14ac:dyDescent="0.3">
      <c r="A136" t="s">
        <v>177</v>
      </c>
      <c r="B136" s="1">
        <v>45564</v>
      </c>
      <c r="C136" t="s">
        <v>35</v>
      </c>
      <c r="D136" t="s">
        <v>23</v>
      </c>
      <c r="E136" t="s">
        <v>24</v>
      </c>
      <c r="F136" t="s">
        <v>33</v>
      </c>
      <c r="G136">
        <v>8550000</v>
      </c>
      <c r="H136">
        <v>8550000</v>
      </c>
      <c r="I136" t="s">
        <v>20</v>
      </c>
      <c r="J136" s="1">
        <v>45996</v>
      </c>
      <c r="K136">
        <v>9000000</v>
      </c>
      <c r="L136" t="s">
        <v>18</v>
      </c>
      <c r="M136">
        <v>0</v>
      </c>
      <c r="N136" t="s">
        <v>481</v>
      </c>
      <c r="O136">
        <v>2022</v>
      </c>
      <c r="P136" t="s">
        <v>494</v>
      </c>
    </row>
    <row r="137" spans="1:16" x14ac:dyDescent="0.3">
      <c r="A137" t="s">
        <v>178</v>
      </c>
      <c r="B137" s="1">
        <v>45415</v>
      </c>
      <c r="C137" t="s">
        <v>35</v>
      </c>
      <c r="D137" t="s">
        <v>44</v>
      </c>
      <c r="E137" t="s">
        <v>45</v>
      </c>
      <c r="F137" t="s">
        <v>16</v>
      </c>
      <c r="G137">
        <v>5650000</v>
      </c>
      <c r="H137">
        <v>700000</v>
      </c>
      <c r="I137" t="s">
        <v>26</v>
      </c>
      <c r="J137" s="1">
        <v>46207</v>
      </c>
      <c r="K137">
        <v>9000000</v>
      </c>
      <c r="L137" t="s">
        <v>476</v>
      </c>
      <c r="M137">
        <v>696</v>
      </c>
      <c r="N137" t="s">
        <v>482</v>
      </c>
      <c r="O137">
        <v>2023</v>
      </c>
      <c r="P137" t="s">
        <v>495</v>
      </c>
    </row>
    <row r="138" spans="1:16" x14ac:dyDescent="0.3">
      <c r="A138" t="s">
        <v>179</v>
      </c>
      <c r="B138" s="1">
        <v>45576</v>
      </c>
      <c r="C138" t="s">
        <v>31</v>
      </c>
      <c r="D138" t="s">
        <v>44</v>
      </c>
      <c r="E138" t="s">
        <v>45</v>
      </c>
      <c r="F138" t="s">
        <v>33</v>
      </c>
      <c r="G138">
        <v>8550000</v>
      </c>
      <c r="H138">
        <v>2900000</v>
      </c>
      <c r="I138" t="s">
        <v>26</v>
      </c>
      <c r="J138" s="1">
        <v>45851</v>
      </c>
      <c r="K138">
        <v>7500000</v>
      </c>
      <c r="L138" t="s">
        <v>18</v>
      </c>
      <c r="M138">
        <v>535</v>
      </c>
      <c r="N138" t="s">
        <v>482</v>
      </c>
      <c r="O138">
        <v>2023</v>
      </c>
      <c r="P138" t="s">
        <v>495</v>
      </c>
    </row>
    <row r="139" spans="1:16" x14ac:dyDescent="0.3">
      <c r="A139" t="s">
        <v>180</v>
      </c>
      <c r="B139" s="1">
        <v>45505</v>
      </c>
      <c r="C139" t="s">
        <v>28</v>
      </c>
      <c r="D139" t="s">
        <v>23</v>
      </c>
      <c r="E139" t="s">
        <v>24</v>
      </c>
      <c r="F139" t="s">
        <v>16</v>
      </c>
      <c r="G139">
        <v>4550000</v>
      </c>
      <c r="H139">
        <v>4550000</v>
      </c>
      <c r="I139" t="s">
        <v>20</v>
      </c>
      <c r="J139" s="1">
        <v>46023</v>
      </c>
      <c r="K139">
        <v>7000000</v>
      </c>
      <c r="L139" t="s">
        <v>38</v>
      </c>
      <c r="M139">
        <v>0</v>
      </c>
      <c r="N139" t="s">
        <v>481</v>
      </c>
      <c r="O139">
        <v>2022</v>
      </c>
      <c r="P139" t="s">
        <v>494</v>
      </c>
    </row>
    <row r="140" spans="1:16" x14ac:dyDescent="0.3">
      <c r="A140" t="s">
        <v>181</v>
      </c>
      <c r="B140" s="1">
        <v>45361</v>
      </c>
      <c r="C140" t="s">
        <v>22</v>
      </c>
      <c r="D140" t="s">
        <v>23</v>
      </c>
      <c r="E140" t="s">
        <v>24</v>
      </c>
      <c r="F140" t="s">
        <v>25</v>
      </c>
      <c r="G140">
        <v>2800000</v>
      </c>
      <c r="H140">
        <v>2800000</v>
      </c>
      <c r="I140" t="s">
        <v>20</v>
      </c>
      <c r="J140" s="1">
        <v>45585</v>
      </c>
      <c r="K140">
        <v>8000000</v>
      </c>
      <c r="L140" t="s">
        <v>29</v>
      </c>
      <c r="M140">
        <v>0</v>
      </c>
      <c r="N140" t="s">
        <v>481</v>
      </c>
      <c r="O140">
        <v>2022</v>
      </c>
      <c r="P140" t="s">
        <v>494</v>
      </c>
    </row>
    <row r="141" spans="1:16" x14ac:dyDescent="0.3">
      <c r="A141" t="s">
        <v>182</v>
      </c>
      <c r="B141" s="1">
        <v>45560</v>
      </c>
      <c r="C141" t="s">
        <v>28</v>
      </c>
      <c r="D141" t="s">
        <v>23</v>
      </c>
      <c r="E141" t="s">
        <v>24</v>
      </c>
      <c r="F141" t="s">
        <v>16</v>
      </c>
      <c r="G141">
        <v>5950000</v>
      </c>
      <c r="H141">
        <v>5950000</v>
      </c>
      <c r="I141" t="s">
        <v>20</v>
      </c>
      <c r="J141" s="1">
        <v>46136</v>
      </c>
      <c r="K141">
        <v>7000000</v>
      </c>
      <c r="L141" t="s">
        <v>476</v>
      </c>
      <c r="M141">
        <v>0</v>
      </c>
      <c r="N141" t="s">
        <v>481</v>
      </c>
      <c r="O141">
        <v>2022</v>
      </c>
      <c r="P141" t="s">
        <v>494</v>
      </c>
    </row>
    <row r="142" spans="1:16" x14ac:dyDescent="0.3">
      <c r="A142" t="s">
        <v>183</v>
      </c>
      <c r="B142" s="1">
        <v>45595</v>
      </c>
      <c r="C142" t="s">
        <v>35</v>
      </c>
      <c r="D142" t="s">
        <v>23</v>
      </c>
      <c r="E142" t="s">
        <v>24</v>
      </c>
      <c r="F142" t="s">
        <v>33</v>
      </c>
      <c r="G142">
        <v>8850000</v>
      </c>
      <c r="H142">
        <v>8850000</v>
      </c>
      <c r="I142" t="s">
        <v>26</v>
      </c>
      <c r="J142" s="1">
        <v>46261</v>
      </c>
      <c r="K142">
        <v>9000000</v>
      </c>
      <c r="L142" t="s">
        <v>42</v>
      </c>
      <c r="M142">
        <v>516</v>
      </c>
      <c r="N142" t="s">
        <v>481</v>
      </c>
      <c r="O142">
        <v>2022</v>
      </c>
      <c r="P142" t="s">
        <v>494</v>
      </c>
    </row>
    <row r="143" spans="1:16" x14ac:dyDescent="0.3">
      <c r="A143" t="s">
        <v>184</v>
      </c>
      <c r="B143" s="1">
        <v>45416</v>
      </c>
      <c r="C143" t="s">
        <v>22</v>
      </c>
      <c r="D143" t="s">
        <v>44</v>
      </c>
      <c r="E143" t="s">
        <v>45</v>
      </c>
      <c r="F143" t="s">
        <v>16</v>
      </c>
      <c r="G143">
        <v>5350000</v>
      </c>
      <c r="H143">
        <v>5350000</v>
      </c>
      <c r="I143" t="s">
        <v>20</v>
      </c>
      <c r="J143" s="1">
        <v>45649</v>
      </c>
      <c r="K143">
        <v>8000000</v>
      </c>
      <c r="L143" t="s">
        <v>38</v>
      </c>
      <c r="M143">
        <v>0</v>
      </c>
      <c r="N143" t="s">
        <v>482</v>
      </c>
      <c r="O143">
        <v>2023</v>
      </c>
      <c r="P143" t="s">
        <v>494</v>
      </c>
    </row>
    <row r="144" spans="1:16" x14ac:dyDescent="0.3">
      <c r="A144" t="s">
        <v>185</v>
      </c>
      <c r="B144" s="1">
        <v>45405</v>
      </c>
      <c r="C144" t="s">
        <v>13</v>
      </c>
      <c r="D144" t="s">
        <v>14</v>
      </c>
      <c r="E144" t="s">
        <v>15</v>
      </c>
      <c r="F144" t="s">
        <v>16</v>
      </c>
      <c r="G144">
        <v>4100000</v>
      </c>
      <c r="H144">
        <v>1050000</v>
      </c>
      <c r="I144" t="s">
        <v>26</v>
      </c>
      <c r="J144" s="1">
        <v>45826</v>
      </c>
      <c r="K144">
        <v>8500000</v>
      </c>
      <c r="L144" t="s">
        <v>476</v>
      </c>
      <c r="M144">
        <v>706</v>
      </c>
      <c r="N144" t="s">
        <v>480</v>
      </c>
      <c r="O144">
        <v>2021</v>
      </c>
      <c r="P144" t="s">
        <v>495</v>
      </c>
    </row>
    <row r="145" spans="1:16" x14ac:dyDescent="0.3">
      <c r="A145" t="s">
        <v>186</v>
      </c>
      <c r="B145" s="1">
        <v>45361</v>
      </c>
      <c r="C145" t="s">
        <v>13</v>
      </c>
      <c r="D145" t="s">
        <v>23</v>
      </c>
      <c r="E145" t="s">
        <v>24</v>
      </c>
      <c r="F145" t="s">
        <v>51</v>
      </c>
      <c r="G145">
        <v>10550000</v>
      </c>
      <c r="H145">
        <v>0</v>
      </c>
      <c r="I145" t="s">
        <v>17</v>
      </c>
      <c r="J145" s="1">
        <v>45676</v>
      </c>
      <c r="K145">
        <v>8500000</v>
      </c>
      <c r="L145" t="s">
        <v>29</v>
      </c>
      <c r="M145">
        <v>0</v>
      </c>
      <c r="N145" t="s">
        <v>481</v>
      </c>
      <c r="O145">
        <v>2022</v>
      </c>
      <c r="P145" t="s">
        <v>476</v>
      </c>
    </row>
    <row r="146" spans="1:16" x14ac:dyDescent="0.3">
      <c r="A146" t="s">
        <v>187</v>
      </c>
      <c r="B146" s="1">
        <v>45592</v>
      </c>
      <c r="C146" t="s">
        <v>35</v>
      </c>
      <c r="D146" t="s">
        <v>23</v>
      </c>
      <c r="E146" t="s">
        <v>24</v>
      </c>
      <c r="F146" t="s">
        <v>33</v>
      </c>
      <c r="G146">
        <v>7550000</v>
      </c>
      <c r="H146">
        <v>2650000</v>
      </c>
      <c r="I146" t="s">
        <v>26</v>
      </c>
      <c r="J146" s="1">
        <v>45975</v>
      </c>
      <c r="K146">
        <v>9000000</v>
      </c>
      <c r="L146" t="s">
        <v>476</v>
      </c>
      <c r="M146">
        <v>519</v>
      </c>
      <c r="N146" t="s">
        <v>481</v>
      </c>
      <c r="O146">
        <v>2022</v>
      </c>
      <c r="P146" t="s">
        <v>495</v>
      </c>
    </row>
    <row r="147" spans="1:16" x14ac:dyDescent="0.3">
      <c r="A147" t="s">
        <v>188</v>
      </c>
      <c r="B147" s="1">
        <v>45480</v>
      </c>
      <c r="C147" t="s">
        <v>31</v>
      </c>
      <c r="D147" t="s">
        <v>14</v>
      </c>
      <c r="E147" t="s">
        <v>15</v>
      </c>
      <c r="F147" t="s">
        <v>33</v>
      </c>
      <c r="G147">
        <v>7000000</v>
      </c>
      <c r="H147">
        <v>7000000</v>
      </c>
      <c r="I147" t="s">
        <v>20</v>
      </c>
      <c r="J147" s="1">
        <v>46181</v>
      </c>
      <c r="K147">
        <v>7500000</v>
      </c>
      <c r="L147" t="s">
        <v>42</v>
      </c>
      <c r="M147">
        <v>0</v>
      </c>
      <c r="N147" t="s">
        <v>480</v>
      </c>
      <c r="O147">
        <v>2021</v>
      </c>
      <c r="P147" t="s">
        <v>494</v>
      </c>
    </row>
    <row r="148" spans="1:16" x14ac:dyDescent="0.3">
      <c r="A148" t="s">
        <v>189</v>
      </c>
      <c r="B148" s="1">
        <v>45441</v>
      </c>
      <c r="C148" t="s">
        <v>28</v>
      </c>
      <c r="D148" t="s">
        <v>44</v>
      </c>
      <c r="E148" t="s">
        <v>45</v>
      </c>
      <c r="F148" t="s">
        <v>33</v>
      </c>
      <c r="G148">
        <v>7500000</v>
      </c>
      <c r="H148">
        <v>1600000</v>
      </c>
      <c r="I148" t="s">
        <v>26</v>
      </c>
      <c r="J148" s="1">
        <v>46126</v>
      </c>
      <c r="K148">
        <v>7000000</v>
      </c>
      <c r="L148" t="s">
        <v>29</v>
      </c>
      <c r="M148">
        <v>670</v>
      </c>
      <c r="N148" t="s">
        <v>482</v>
      </c>
      <c r="O148">
        <v>2023</v>
      </c>
      <c r="P148" t="s">
        <v>495</v>
      </c>
    </row>
    <row r="149" spans="1:16" x14ac:dyDescent="0.3">
      <c r="A149" t="s">
        <v>190</v>
      </c>
      <c r="B149" s="1">
        <v>45364</v>
      </c>
      <c r="C149" t="s">
        <v>35</v>
      </c>
      <c r="D149" t="s">
        <v>23</v>
      </c>
      <c r="E149" t="s">
        <v>24</v>
      </c>
      <c r="F149" t="s">
        <v>51</v>
      </c>
      <c r="G149">
        <v>11250000</v>
      </c>
      <c r="H149">
        <v>2750000</v>
      </c>
      <c r="I149" t="s">
        <v>26</v>
      </c>
      <c r="J149" s="1">
        <v>46031</v>
      </c>
      <c r="K149">
        <v>9000000</v>
      </c>
      <c r="L149" t="s">
        <v>38</v>
      </c>
      <c r="M149">
        <v>747</v>
      </c>
      <c r="N149" t="s">
        <v>481</v>
      </c>
      <c r="O149">
        <v>2022</v>
      </c>
      <c r="P149" t="s">
        <v>495</v>
      </c>
    </row>
    <row r="150" spans="1:16" x14ac:dyDescent="0.3">
      <c r="A150" t="s">
        <v>191</v>
      </c>
      <c r="B150" s="1">
        <v>45563</v>
      </c>
      <c r="C150" t="s">
        <v>35</v>
      </c>
      <c r="D150" t="s">
        <v>14</v>
      </c>
      <c r="E150" t="s">
        <v>15</v>
      </c>
      <c r="F150" t="s">
        <v>16</v>
      </c>
      <c r="G150">
        <v>4200000</v>
      </c>
      <c r="H150">
        <v>4200000</v>
      </c>
      <c r="I150" t="s">
        <v>20</v>
      </c>
      <c r="J150" s="1">
        <v>46415</v>
      </c>
      <c r="K150">
        <v>9000000</v>
      </c>
      <c r="L150" t="s">
        <v>29</v>
      </c>
      <c r="M150">
        <v>0</v>
      </c>
      <c r="N150" t="s">
        <v>480</v>
      </c>
      <c r="O150">
        <v>2021</v>
      </c>
      <c r="P150" t="s">
        <v>494</v>
      </c>
    </row>
    <row r="151" spans="1:16" x14ac:dyDescent="0.3">
      <c r="A151" t="s">
        <v>192</v>
      </c>
      <c r="B151" s="1">
        <v>45530</v>
      </c>
      <c r="C151" t="s">
        <v>35</v>
      </c>
      <c r="D151" t="s">
        <v>23</v>
      </c>
      <c r="E151" t="s">
        <v>24</v>
      </c>
      <c r="F151" t="s">
        <v>16</v>
      </c>
      <c r="G151">
        <v>4200000</v>
      </c>
      <c r="H151">
        <v>1000000</v>
      </c>
      <c r="I151" t="s">
        <v>26</v>
      </c>
      <c r="J151" s="1">
        <v>46087</v>
      </c>
      <c r="K151">
        <v>9000000</v>
      </c>
      <c r="L151" t="s">
        <v>29</v>
      </c>
      <c r="M151">
        <v>581</v>
      </c>
      <c r="N151" t="s">
        <v>481</v>
      </c>
      <c r="O151">
        <v>2022</v>
      </c>
      <c r="P151" t="s">
        <v>495</v>
      </c>
    </row>
    <row r="152" spans="1:16" x14ac:dyDescent="0.3">
      <c r="A152" t="s">
        <v>193</v>
      </c>
      <c r="B152" s="1">
        <v>45414</v>
      </c>
      <c r="C152" t="s">
        <v>22</v>
      </c>
      <c r="D152" t="s">
        <v>23</v>
      </c>
      <c r="E152" t="s">
        <v>24</v>
      </c>
      <c r="F152" t="s">
        <v>25</v>
      </c>
      <c r="G152">
        <v>3000000</v>
      </c>
      <c r="H152">
        <v>850000</v>
      </c>
      <c r="I152" t="s">
        <v>26</v>
      </c>
      <c r="J152" s="1">
        <v>45910</v>
      </c>
      <c r="K152">
        <v>8000000</v>
      </c>
      <c r="L152" t="s">
        <v>52</v>
      </c>
      <c r="M152">
        <v>697</v>
      </c>
      <c r="N152" t="s">
        <v>481</v>
      </c>
      <c r="O152">
        <v>2022</v>
      </c>
      <c r="P152" t="s">
        <v>495</v>
      </c>
    </row>
    <row r="153" spans="1:16" x14ac:dyDescent="0.3">
      <c r="A153" t="s">
        <v>194</v>
      </c>
      <c r="B153" s="1">
        <v>45404</v>
      </c>
      <c r="C153" t="s">
        <v>31</v>
      </c>
      <c r="D153" t="s">
        <v>14</v>
      </c>
      <c r="E153" t="s">
        <v>15</v>
      </c>
      <c r="F153" t="s">
        <v>33</v>
      </c>
      <c r="G153">
        <v>6900000</v>
      </c>
      <c r="H153">
        <v>0</v>
      </c>
      <c r="I153" t="s">
        <v>17</v>
      </c>
      <c r="J153" s="1">
        <v>46245</v>
      </c>
      <c r="K153">
        <v>7500000</v>
      </c>
      <c r="L153" t="s">
        <v>42</v>
      </c>
      <c r="M153">
        <v>0</v>
      </c>
      <c r="N153" t="s">
        <v>480</v>
      </c>
      <c r="O153">
        <v>2021</v>
      </c>
      <c r="P153" t="s">
        <v>476</v>
      </c>
    </row>
    <row r="154" spans="1:16" x14ac:dyDescent="0.3">
      <c r="A154" t="s">
        <v>195</v>
      </c>
      <c r="B154" s="1">
        <v>45462</v>
      </c>
      <c r="C154" t="s">
        <v>31</v>
      </c>
      <c r="D154" t="s">
        <v>23</v>
      </c>
      <c r="E154" t="s">
        <v>24</v>
      </c>
      <c r="F154" t="s">
        <v>16</v>
      </c>
      <c r="G154">
        <v>5550000</v>
      </c>
      <c r="H154">
        <v>1450000</v>
      </c>
      <c r="I154" t="s">
        <v>26</v>
      </c>
      <c r="J154" s="1">
        <v>46079</v>
      </c>
      <c r="K154">
        <v>7500000</v>
      </c>
      <c r="L154" t="s">
        <v>476</v>
      </c>
      <c r="M154">
        <v>649</v>
      </c>
      <c r="N154" t="s">
        <v>481</v>
      </c>
      <c r="O154">
        <v>2022</v>
      </c>
      <c r="P154" t="s">
        <v>495</v>
      </c>
    </row>
    <row r="155" spans="1:16" x14ac:dyDescent="0.3">
      <c r="A155" t="s">
        <v>196</v>
      </c>
      <c r="B155" s="1">
        <v>45465</v>
      </c>
      <c r="C155" t="s">
        <v>13</v>
      </c>
      <c r="D155" t="s">
        <v>14</v>
      </c>
      <c r="E155" t="s">
        <v>15</v>
      </c>
      <c r="F155" t="s">
        <v>16</v>
      </c>
      <c r="G155">
        <v>4900000</v>
      </c>
      <c r="H155">
        <v>4900000</v>
      </c>
      <c r="I155" t="s">
        <v>20</v>
      </c>
      <c r="J155" s="1">
        <v>46326</v>
      </c>
      <c r="K155">
        <v>8500000</v>
      </c>
      <c r="L155" t="s">
        <v>18</v>
      </c>
      <c r="M155">
        <v>0</v>
      </c>
      <c r="N155" t="s">
        <v>480</v>
      </c>
      <c r="O155">
        <v>2021</v>
      </c>
      <c r="P155" t="s">
        <v>494</v>
      </c>
    </row>
    <row r="156" spans="1:16" x14ac:dyDescent="0.3">
      <c r="A156" t="s">
        <v>197</v>
      </c>
      <c r="B156" s="1">
        <v>45419</v>
      </c>
      <c r="C156" t="s">
        <v>31</v>
      </c>
      <c r="D156" t="s">
        <v>44</v>
      </c>
      <c r="E156" t="s">
        <v>45</v>
      </c>
      <c r="F156" t="s">
        <v>33</v>
      </c>
      <c r="G156">
        <v>7800000</v>
      </c>
      <c r="H156">
        <v>7800000</v>
      </c>
      <c r="I156" t="s">
        <v>20</v>
      </c>
      <c r="J156" s="1">
        <v>45762</v>
      </c>
      <c r="K156">
        <v>7500000</v>
      </c>
      <c r="L156" t="s">
        <v>476</v>
      </c>
      <c r="M156">
        <v>0</v>
      </c>
      <c r="N156" t="s">
        <v>482</v>
      </c>
      <c r="O156">
        <v>2023</v>
      </c>
      <c r="P156" t="s">
        <v>494</v>
      </c>
    </row>
    <row r="157" spans="1:16" x14ac:dyDescent="0.3">
      <c r="A157" t="s">
        <v>198</v>
      </c>
      <c r="B157" s="1">
        <v>45390</v>
      </c>
      <c r="C157" t="s">
        <v>13</v>
      </c>
      <c r="D157" t="s">
        <v>23</v>
      </c>
      <c r="E157" t="s">
        <v>24</v>
      </c>
      <c r="F157" t="s">
        <v>33</v>
      </c>
      <c r="G157">
        <v>7250000</v>
      </c>
      <c r="H157">
        <v>1950000</v>
      </c>
      <c r="I157" t="s">
        <v>26</v>
      </c>
      <c r="J157" s="1">
        <v>45985</v>
      </c>
      <c r="K157">
        <v>8500000</v>
      </c>
      <c r="L157" t="s">
        <v>476</v>
      </c>
      <c r="M157">
        <v>721</v>
      </c>
      <c r="N157" t="s">
        <v>481</v>
      </c>
      <c r="O157">
        <v>2022</v>
      </c>
      <c r="P157" t="s">
        <v>495</v>
      </c>
    </row>
    <row r="158" spans="1:16" x14ac:dyDescent="0.3">
      <c r="A158" t="s">
        <v>199</v>
      </c>
      <c r="B158" s="1">
        <v>45507</v>
      </c>
      <c r="C158" t="s">
        <v>35</v>
      </c>
      <c r="D158" t="s">
        <v>23</v>
      </c>
      <c r="E158" t="s">
        <v>24</v>
      </c>
      <c r="F158" t="s">
        <v>25</v>
      </c>
      <c r="G158">
        <v>3300000</v>
      </c>
      <c r="H158">
        <v>400000</v>
      </c>
      <c r="I158" t="s">
        <v>26</v>
      </c>
      <c r="J158" s="1">
        <v>46045</v>
      </c>
      <c r="K158">
        <v>9000000</v>
      </c>
      <c r="L158" t="s">
        <v>29</v>
      </c>
      <c r="M158">
        <v>604</v>
      </c>
      <c r="N158" t="s">
        <v>481</v>
      </c>
      <c r="O158">
        <v>2022</v>
      </c>
      <c r="P158" t="s">
        <v>495</v>
      </c>
    </row>
    <row r="159" spans="1:16" x14ac:dyDescent="0.3">
      <c r="A159" t="s">
        <v>200</v>
      </c>
      <c r="B159" s="1">
        <v>45486</v>
      </c>
      <c r="C159" t="s">
        <v>31</v>
      </c>
      <c r="D159" t="s">
        <v>23</v>
      </c>
      <c r="E159" t="s">
        <v>24</v>
      </c>
      <c r="F159" t="s">
        <v>16</v>
      </c>
      <c r="G159">
        <v>4200000</v>
      </c>
      <c r="H159">
        <v>4200000</v>
      </c>
      <c r="I159" t="s">
        <v>20</v>
      </c>
      <c r="J159" s="1">
        <v>45671</v>
      </c>
      <c r="K159">
        <v>7500000</v>
      </c>
      <c r="L159" t="s">
        <v>18</v>
      </c>
      <c r="M159">
        <v>0</v>
      </c>
      <c r="N159" t="s">
        <v>481</v>
      </c>
      <c r="O159">
        <v>2022</v>
      </c>
      <c r="P159" t="s">
        <v>494</v>
      </c>
    </row>
    <row r="160" spans="1:16" x14ac:dyDescent="0.3">
      <c r="A160" t="s">
        <v>201</v>
      </c>
      <c r="B160" s="1">
        <v>45336</v>
      </c>
      <c r="C160" t="s">
        <v>28</v>
      </c>
      <c r="D160" t="s">
        <v>14</v>
      </c>
      <c r="E160" t="s">
        <v>15</v>
      </c>
      <c r="F160" t="s">
        <v>25</v>
      </c>
      <c r="G160">
        <v>2750000</v>
      </c>
      <c r="H160">
        <v>2750000</v>
      </c>
      <c r="I160" t="s">
        <v>20</v>
      </c>
      <c r="J160" s="1">
        <v>46033</v>
      </c>
      <c r="K160">
        <v>7000000</v>
      </c>
      <c r="L160" t="s">
        <v>42</v>
      </c>
      <c r="M160">
        <v>0</v>
      </c>
      <c r="N160" t="s">
        <v>480</v>
      </c>
      <c r="O160">
        <v>2021</v>
      </c>
      <c r="P160" t="s">
        <v>494</v>
      </c>
    </row>
    <row r="161" spans="1:16" x14ac:dyDescent="0.3">
      <c r="A161" t="s">
        <v>202</v>
      </c>
      <c r="B161" s="1">
        <v>45396</v>
      </c>
      <c r="C161" t="s">
        <v>31</v>
      </c>
      <c r="D161" t="s">
        <v>23</v>
      </c>
      <c r="E161" t="s">
        <v>24</v>
      </c>
      <c r="F161" t="s">
        <v>33</v>
      </c>
      <c r="G161">
        <v>6800000</v>
      </c>
      <c r="H161">
        <v>6800000</v>
      </c>
      <c r="I161" t="s">
        <v>20</v>
      </c>
      <c r="J161" s="1">
        <v>46291</v>
      </c>
      <c r="K161">
        <v>7500000</v>
      </c>
      <c r="L161" t="s">
        <v>476</v>
      </c>
      <c r="M161">
        <v>0</v>
      </c>
      <c r="N161" t="s">
        <v>481</v>
      </c>
      <c r="O161">
        <v>2022</v>
      </c>
      <c r="P161" t="s">
        <v>494</v>
      </c>
    </row>
    <row r="162" spans="1:16" x14ac:dyDescent="0.3">
      <c r="A162" t="s">
        <v>203</v>
      </c>
      <c r="B162" s="1">
        <v>45481</v>
      </c>
      <c r="C162" t="s">
        <v>35</v>
      </c>
      <c r="D162" t="s">
        <v>14</v>
      </c>
      <c r="E162" t="s">
        <v>15</v>
      </c>
      <c r="F162" t="s">
        <v>33</v>
      </c>
      <c r="G162">
        <v>7100000</v>
      </c>
      <c r="H162">
        <v>1500000</v>
      </c>
      <c r="I162" t="s">
        <v>26</v>
      </c>
      <c r="J162" s="1">
        <v>45982</v>
      </c>
      <c r="K162">
        <v>9000000</v>
      </c>
      <c r="L162" t="s">
        <v>18</v>
      </c>
      <c r="M162">
        <v>630</v>
      </c>
      <c r="N162" t="s">
        <v>480</v>
      </c>
      <c r="O162">
        <v>2021</v>
      </c>
      <c r="P162" t="s">
        <v>495</v>
      </c>
    </row>
    <row r="163" spans="1:16" x14ac:dyDescent="0.3">
      <c r="A163" t="s">
        <v>204</v>
      </c>
      <c r="B163" s="1">
        <v>45299</v>
      </c>
      <c r="C163" t="s">
        <v>35</v>
      </c>
      <c r="D163" t="s">
        <v>14</v>
      </c>
      <c r="E163" t="s">
        <v>15</v>
      </c>
      <c r="F163" t="s">
        <v>51</v>
      </c>
      <c r="G163">
        <v>12850000</v>
      </c>
      <c r="H163">
        <v>2400000</v>
      </c>
      <c r="I163" t="s">
        <v>26</v>
      </c>
      <c r="J163" s="1">
        <v>45992</v>
      </c>
      <c r="K163">
        <v>9000000</v>
      </c>
      <c r="L163" t="s">
        <v>476</v>
      </c>
      <c r="M163">
        <v>812</v>
      </c>
      <c r="N163" t="s">
        <v>480</v>
      </c>
      <c r="O163">
        <v>2021</v>
      </c>
      <c r="P163" t="s">
        <v>495</v>
      </c>
    </row>
    <row r="164" spans="1:16" x14ac:dyDescent="0.3">
      <c r="A164" t="s">
        <v>205</v>
      </c>
      <c r="B164" s="1">
        <v>45578</v>
      </c>
      <c r="C164" t="s">
        <v>35</v>
      </c>
      <c r="D164" t="s">
        <v>14</v>
      </c>
      <c r="E164" t="s">
        <v>15</v>
      </c>
      <c r="F164" t="s">
        <v>16</v>
      </c>
      <c r="G164">
        <v>4050000</v>
      </c>
      <c r="H164">
        <v>1500000</v>
      </c>
      <c r="I164" t="s">
        <v>26</v>
      </c>
      <c r="J164" s="1">
        <v>46078</v>
      </c>
      <c r="K164">
        <v>9000000</v>
      </c>
      <c r="L164" t="s">
        <v>476</v>
      </c>
      <c r="M164">
        <v>533</v>
      </c>
      <c r="N164" t="s">
        <v>480</v>
      </c>
      <c r="O164">
        <v>2021</v>
      </c>
      <c r="P164" t="s">
        <v>495</v>
      </c>
    </row>
    <row r="165" spans="1:16" x14ac:dyDescent="0.3">
      <c r="A165" t="s">
        <v>206</v>
      </c>
      <c r="B165" s="1">
        <v>45577</v>
      </c>
      <c r="C165" t="s">
        <v>35</v>
      </c>
      <c r="D165" t="s">
        <v>23</v>
      </c>
      <c r="E165" t="s">
        <v>24</v>
      </c>
      <c r="F165" t="s">
        <v>51</v>
      </c>
      <c r="G165">
        <v>11900000</v>
      </c>
      <c r="H165">
        <v>0</v>
      </c>
      <c r="I165" t="s">
        <v>17</v>
      </c>
      <c r="J165" s="1">
        <v>45969</v>
      </c>
      <c r="K165">
        <v>9000000</v>
      </c>
      <c r="L165" t="s">
        <v>476</v>
      </c>
      <c r="M165">
        <v>0</v>
      </c>
      <c r="N165" t="s">
        <v>481</v>
      </c>
      <c r="O165">
        <v>2022</v>
      </c>
      <c r="P165" t="s">
        <v>476</v>
      </c>
    </row>
    <row r="166" spans="1:16" x14ac:dyDescent="0.3">
      <c r="A166" t="s">
        <v>207</v>
      </c>
      <c r="B166" s="1">
        <v>45629</v>
      </c>
      <c r="C166" t="s">
        <v>13</v>
      </c>
      <c r="D166" t="s">
        <v>14</v>
      </c>
      <c r="E166" t="s">
        <v>15</v>
      </c>
      <c r="F166" t="s">
        <v>33</v>
      </c>
      <c r="G166">
        <v>8600000</v>
      </c>
      <c r="H166">
        <v>8600000</v>
      </c>
      <c r="I166" t="s">
        <v>20</v>
      </c>
      <c r="J166" s="1">
        <v>46044</v>
      </c>
      <c r="K166">
        <v>8500000</v>
      </c>
      <c r="L166" t="s">
        <v>40</v>
      </c>
      <c r="M166">
        <v>0</v>
      </c>
      <c r="N166" t="s">
        <v>480</v>
      </c>
      <c r="O166">
        <v>2021</v>
      </c>
      <c r="P166" t="s">
        <v>494</v>
      </c>
    </row>
    <row r="167" spans="1:16" x14ac:dyDescent="0.3">
      <c r="A167" t="s">
        <v>208</v>
      </c>
      <c r="B167" s="1">
        <v>45645</v>
      </c>
      <c r="C167" t="s">
        <v>31</v>
      </c>
      <c r="D167" t="s">
        <v>23</v>
      </c>
      <c r="E167" t="s">
        <v>24</v>
      </c>
      <c r="F167" t="s">
        <v>33</v>
      </c>
      <c r="G167">
        <v>8050000</v>
      </c>
      <c r="H167">
        <v>3000000</v>
      </c>
      <c r="I167" t="s">
        <v>26</v>
      </c>
      <c r="J167" s="1">
        <v>46287</v>
      </c>
      <c r="K167">
        <v>7500000</v>
      </c>
      <c r="L167" t="s">
        <v>38</v>
      </c>
      <c r="M167">
        <v>466</v>
      </c>
      <c r="N167" t="s">
        <v>481</v>
      </c>
      <c r="O167">
        <v>2022</v>
      </c>
      <c r="P167" t="s">
        <v>495</v>
      </c>
    </row>
    <row r="168" spans="1:16" x14ac:dyDescent="0.3">
      <c r="A168" t="s">
        <v>209</v>
      </c>
      <c r="B168" s="1">
        <v>45423</v>
      </c>
      <c r="C168" t="s">
        <v>22</v>
      </c>
      <c r="D168" t="s">
        <v>14</v>
      </c>
      <c r="E168" t="s">
        <v>15</v>
      </c>
      <c r="F168" t="s">
        <v>16</v>
      </c>
      <c r="G168">
        <v>4900000</v>
      </c>
      <c r="H168">
        <v>0</v>
      </c>
      <c r="I168" t="s">
        <v>17</v>
      </c>
      <c r="J168" s="1">
        <v>46032</v>
      </c>
      <c r="K168">
        <v>8000000</v>
      </c>
      <c r="L168" t="s">
        <v>52</v>
      </c>
      <c r="M168">
        <v>0</v>
      </c>
      <c r="N168" t="s">
        <v>480</v>
      </c>
      <c r="O168">
        <v>2021</v>
      </c>
      <c r="P168" t="s">
        <v>476</v>
      </c>
    </row>
    <row r="169" spans="1:16" x14ac:dyDescent="0.3">
      <c r="A169" t="s">
        <v>210</v>
      </c>
      <c r="B169" s="1">
        <v>45458</v>
      </c>
      <c r="C169" t="s">
        <v>31</v>
      </c>
      <c r="D169" t="s">
        <v>23</v>
      </c>
      <c r="E169" t="s">
        <v>24</v>
      </c>
      <c r="F169" t="s">
        <v>51</v>
      </c>
      <c r="G169">
        <v>11650000</v>
      </c>
      <c r="H169">
        <v>11650000</v>
      </c>
      <c r="I169" t="s">
        <v>20</v>
      </c>
      <c r="J169" s="1">
        <v>45924</v>
      </c>
      <c r="K169">
        <v>7500000</v>
      </c>
      <c r="L169" t="s">
        <v>18</v>
      </c>
      <c r="M169">
        <v>0</v>
      </c>
      <c r="N169" t="s">
        <v>481</v>
      </c>
      <c r="O169">
        <v>2022</v>
      </c>
      <c r="P169" t="s">
        <v>494</v>
      </c>
    </row>
    <row r="170" spans="1:16" x14ac:dyDescent="0.3">
      <c r="A170" t="s">
        <v>211</v>
      </c>
      <c r="B170" s="1">
        <v>45417</v>
      </c>
      <c r="C170" t="s">
        <v>35</v>
      </c>
      <c r="D170" t="s">
        <v>23</v>
      </c>
      <c r="E170" t="s">
        <v>24</v>
      </c>
      <c r="F170" t="s">
        <v>51</v>
      </c>
      <c r="G170">
        <v>12050000</v>
      </c>
      <c r="H170">
        <v>4750000</v>
      </c>
      <c r="I170" t="s">
        <v>26</v>
      </c>
      <c r="J170" s="1">
        <v>46266</v>
      </c>
      <c r="K170">
        <v>9000000</v>
      </c>
      <c r="L170" t="s">
        <v>476</v>
      </c>
      <c r="M170">
        <v>694</v>
      </c>
      <c r="N170" t="s">
        <v>481</v>
      </c>
      <c r="O170">
        <v>2022</v>
      </c>
      <c r="P170" t="s">
        <v>495</v>
      </c>
    </row>
    <row r="171" spans="1:16" x14ac:dyDescent="0.3">
      <c r="A171" t="s">
        <v>212</v>
      </c>
      <c r="B171" s="1">
        <v>45615</v>
      </c>
      <c r="C171" t="s">
        <v>35</v>
      </c>
      <c r="D171" t="s">
        <v>44</v>
      </c>
      <c r="E171" t="s">
        <v>45</v>
      </c>
      <c r="F171" t="s">
        <v>25</v>
      </c>
      <c r="G171">
        <v>2950000</v>
      </c>
      <c r="H171">
        <v>2950000</v>
      </c>
      <c r="I171" t="s">
        <v>20</v>
      </c>
      <c r="J171" s="1">
        <v>46443</v>
      </c>
      <c r="K171">
        <v>9000000</v>
      </c>
      <c r="L171" t="s">
        <v>38</v>
      </c>
      <c r="M171">
        <v>0</v>
      </c>
      <c r="N171" t="s">
        <v>482</v>
      </c>
      <c r="O171">
        <v>2023</v>
      </c>
      <c r="P171" t="s">
        <v>494</v>
      </c>
    </row>
    <row r="172" spans="1:16" x14ac:dyDescent="0.3">
      <c r="A172" t="s">
        <v>213</v>
      </c>
      <c r="B172" s="1">
        <v>45463</v>
      </c>
      <c r="C172" t="s">
        <v>13</v>
      </c>
      <c r="D172" t="s">
        <v>44</v>
      </c>
      <c r="E172" t="s">
        <v>45</v>
      </c>
      <c r="F172" t="s">
        <v>33</v>
      </c>
      <c r="G172">
        <v>7050000</v>
      </c>
      <c r="H172">
        <v>7050000</v>
      </c>
      <c r="I172" t="s">
        <v>20</v>
      </c>
      <c r="J172" s="1">
        <v>45971</v>
      </c>
      <c r="K172">
        <v>8500000</v>
      </c>
      <c r="L172" t="s">
        <v>29</v>
      </c>
      <c r="M172">
        <v>0</v>
      </c>
      <c r="N172" t="s">
        <v>482</v>
      </c>
      <c r="O172">
        <v>2023</v>
      </c>
      <c r="P172" t="s">
        <v>494</v>
      </c>
    </row>
    <row r="173" spans="1:16" x14ac:dyDescent="0.3">
      <c r="A173" t="s">
        <v>214</v>
      </c>
      <c r="B173" s="1">
        <v>45477</v>
      </c>
      <c r="C173" t="s">
        <v>28</v>
      </c>
      <c r="D173" t="s">
        <v>44</v>
      </c>
      <c r="E173" t="s">
        <v>45</v>
      </c>
      <c r="F173" t="s">
        <v>16</v>
      </c>
      <c r="G173">
        <v>5600000</v>
      </c>
      <c r="H173">
        <v>5600000</v>
      </c>
      <c r="I173" t="s">
        <v>20</v>
      </c>
      <c r="J173" s="1">
        <v>45865</v>
      </c>
      <c r="K173">
        <v>7000000</v>
      </c>
      <c r="L173" t="s">
        <v>18</v>
      </c>
      <c r="M173">
        <v>0</v>
      </c>
      <c r="N173" t="s">
        <v>482</v>
      </c>
      <c r="O173">
        <v>2023</v>
      </c>
      <c r="P173" t="s">
        <v>494</v>
      </c>
    </row>
    <row r="174" spans="1:16" x14ac:dyDescent="0.3">
      <c r="A174" t="s">
        <v>215</v>
      </c>
      <c r="B174" s="1">
        <v>45398</v>
      </c>
      <c r="C174" t="s">
        <v>28</v>
      </c>
      <c r="D174" t="s">
        <v>23</v>
      </c>
      <c r="E174" t="s">
        <v>24</v>
      </c>
      <c r="F174" t="s">
        <v>33</v>
      </c>
      <c r="G174">
        <v>8100000</v>
      </c>
      <c r="H174">
        <v>8100000</v>
      </c>
      <c r="I174" t="s">
        <v>20</v>
      </c>
      <c r="J174" s="1">
        <v>45755</v>
      </c>
      <c r="K174">
        <v>7000000</v>
      </c>
      <c r="L174" t="s">
        <v>476</v>
      </c>
      <c r="M174">
        <v>0</v>
      </c>
      <c r="N174" t="s">
        <v>481</v>
      </c>
      <c r="O174">
        <v>2022</v>
      </c>
      <c r="P174" t="s">
        <v>494</v>
      </c>
    </row>
    <row r="175" spans="1:16" x14ac:dyDescent="0.3">
      <c r="A175" t="s">
        <v>216</v>
      </c>
      <c r="B175" s="1">
        <v>45372</v>
      </c>
      <c r="C175" t="s">
        <v>22</v>
      </c>
      <c r="D175" t="s">
        <v>14</v>
      </c>
      <c r="E175" t="s">
        <v>15</v>
      </c>
      <c r="F175" t="s">
        <v>16</v>
      </c>
      <c r="G175">
        <v>4850000</v>
      </c>
      <c r="H175">
        <v>0</v>
      </c>
      <c r="I175" t="s">
        <v>17</v>
      </c>
      <c r="J175" s="1">
        <v>46119</v>
      </c>
      <c r="K175">
        <v>8000000</v>
      </c>
      <c r="L175" t="s">
        <v>476</v>
      </c>
      <c r="M175">
        <v>0</v>
      </c>
      <c r="N175" t="s">
        <v>480</v>
      </c>
      <c r="O175">
        <v>2021</v>
      </c>
      <c r="P175" t="s">
        <v>476</v>
      </c>
    </row>
    <row r="176" spans="1:16" x14ac:dyDescent="0.3">
      <c r="A176" t="s">
        <v>217</v>
      </c>
      <c r="B176" s="1">
        <v>45610</v>
      </c>
      <c r="C176" t="s">
        <v>28</v>
      </c>
      <c r="D176" t="s">
        <v>14</v>
      </c>
      <c r="E176" t="s">
        <v>15</v>
      </c>
      <c r="F176" t="s">
        <v>33</v>
      </c>
      <c r="G176">
        <v>7400000</v>
      </c>
      <c r="H176">
        <v>1350000</v>
      </c>
      <c r="I176" t="s">
        <v>26</v>
      </c>
      <c r="J176" s="1">
        <v>46147</v>
      </c>
      <c r="K176">
        <v>7000000</v>
      </c>
      <c r="L176" t="s">
        <v>38</v>
      </c>
      <c r="M176">
        <v>501</v>
      </c>
      <c r="N176" t="s">
        <v>480</v>
      </c>
      <c r="O176">
        <v>2021</v>
      </c>
      <c r="P176" t="s">
        <v>495</v>
      </c>
    </row>
    <row r="177" spans="1:16" x14ac:dyDescent="0.3">
      <c r="A177" t="s">
        <v>218</v>
      </c>
      <c r="B177" s="1">
        <v>45371</v>
      </c>
      <c r="C177" t="s">
        <v>35</v>
      </c>
      <c r="D177" t="s">
        <v>14</v>
      </c>
      <c r="E177" t="s">
        <v>15</v>
      </c>
      <c r="F177" t="s">
        <v>33</v>
      </c>
      <c r="G177">
        <v>7950000</v>
      </c>
      <c r="H177">
        <v>7950000</v>
      </c>
      <c r="I177" t="s">
        <v>20</v>
      </c>
      <c r="J177" s="1">
        <v>46254</v>
      </c>
      <c r="K177">
        <v>9000000</v>
      </c>
      <c r="L177" t="s">
        <v>18</v>
      </c>
      <c r="M177">
        <v>0</v>
      </c>
      <c r="N177" t="s">
        <v>480</v>
      </c>
      <c r="O177">
        <v>2021</v>
      </c>
      <c r="P177" t="s">
        <v>494</v>
      </c>
    </row>
    <row r="178" spans="1:16" x14ac:dyDescent="0.3">
      <c r="A178" t="s">
        <v>219</v>
      </c>
      <c r="B178" s="1">
        <v>45375</v>
      </c>
      <c r="C178" t="s">
        <v>13</v>
      </c>
      <c r="D178" t="s">
        <v>14</v>
      </c>
      <c r="E178" t="s">
        <v>15</v>
      </c>
      <c r="F178" t="s">
        <v>16</v>
      </c>
      <c r="G178">
        <v>4050000</v>
      </c>
      <c r="H178">
        <v>4050000</v>
      </c>
      <c r="I178" t="s">
        <v>20</v>
      </c>
      <c r="J178" s="1">
        <v>45822</v>
      </c>
      <c r="K178">
        <v>8500000</v>
      </c>
      <c r="L178" t="s">
        <v>38</v>
      </c>
      <c r="M178">
        <v>0</v>
      </c>
      <c r="N178" t="s">
        <v>480</v>
      </c>
      <c r="O178">
        <v>2021</v>
      </c>
      <c r="P178" t="s">
        <v>494</v>
      </c>
    </row>
    <row r="179" spans="1:16" x14ac:dyDescent="0.3">
      <c r="A179" t="s">
        <v>220</v>
      </c>
      <c r="B179" s="1">
        <v>45593</v>
      </c>
      <c r="C179" t="s">
        <v>31</v>
      </c>
      <c r="D179" t="s">
        <v>23</v>
      </c>
      <c r="E179" t="s">
        <v>24</v>
      </c>
      <c r="F179" t="s">
        <v>51</v>
      </c>
      <c r="G179">
        <v>13900000</v>
      </c>
      <c r="H179">
        <v>5400000</v>
      </c>
      <c r="I179" t="s">
        <v>26</v>
      </c>
      <c r="J179" s="1">
        <v>46476</v>
      </c>
      <c r="K179">
        <v>7500000</v>
      </c>
      <c r="L179" t="s">
        <v>476</v>
      </c>
      <c r="M179">
        <v>518</v>
      </c>
      <c r="N179" t="s">
        <v>481</v>
      </c>
      <c r="O179">
        <v>2022</v>
      </c>
      <c r="P179" t="s">
        <v>495</v>
      </c>
    </row>
    <row r="180" spans="1:16" x14ac:dyDescent="0.3">
      <c r="A180" t="s">
        <v>221</v>
      </c>
      <c r="B180" s="1">
        <v>45526</v>
      </c>
      <c r="C180" t="s">
        <v>31</v>
      </c>
      <c r="D180" t="s">
        <v>23</v>
      </c>
      <c r="E180" t="s">
        <v>24</v>
      </c>
      <c r="F180" t="s">
        <v>25</v>
      </c>
      <c r="G180">
        <v>2550000</v>
      </c>
      <c r="H180">
        <v>2550000</v>
      </c>
      <c r="I180" t="s">
        <v>20</v>
      </c>
      <c r="J180" s="1">
        <v>46212</v>
      </c>
      <c r="K180">
        <v>7500000</v>
      </c>
      <c r="L180" t="s">
        <v>476</v>
      </c>
      <c r="M180">
        <v>0</v>
      </c>
      <c r="N180" t="s">
        <v>481</v>
      </c>
      <c r="O180">
        <v>2022</v>
      </c>
      <c r="P180" t="s">
        <v>494</v>
      </c>
    </row>
    <row r="181" spans="1:16" x14ac:dyDescent="0.3">
      <c r="A181" t="s">
        <v>222</v>
      </c>
      <c r="B181" s="1">
        <v>45654</v>
      </c>
      <c r="C181" t="s">
        <v>35</v>
      </c>
      <c r="D181" t="s">
        <v>23</v>
      </c>
      <c r="E181" t="s">
        <v>24</v>
      </c>
      <c r="F181" t="s">
        <v>16</v>
      </c>
      <c r="G181">
        <v>4500000</v>
      </c>
      <c r="H181">
        <v>0</v>
      </c>
      <c r="I181" t="s">
        <v>17</v>
      </c>
      <c r="J181" s="1">
        <v>45903</v>
      </c>
      <c r="K181">
        <v>9000000</v>
      </c>
      <c r="L181" t="s">
        <v>40</v>
      </c>
      <c r="M181">
        <v>0</v>
      </c>
      <c r="N181" t="s">
        <v>481</v>
      </c>
      <c r="O181">
        <v>2022</v>
      </c>
      <c r="P181" t="s">
        <v>476</v>
      </c>
    </row>
    <row r="182" spans="1:16" x14ac:dyDescent="0.3">
      <c r="A182" t="s">
        <v>223</v>
      </c>
      <c r="B182" s="1">
        <v>45516</v>
      </c>
      <c r="C182" t="s">
        <v>22</v>
      </c>
      <c r="D182" t="s">
        <v>23</v>
      </c>
      <c r="E182" t="s">
        <v>24</v>
      </c>
      <c r="F182" t="s">
        <v>33</v>
      </c>
      <c r="G182">
        <v>8200000</v>
      </c>
      <c r="H182">
        <v>8200000</v>
      </c>
      <c r="I182" t="s">
        <v>20</v>
      </c>
      <c r="J182" s="1">
        <v>46208</v>
      </c>
      <c r="K182">
        <v>8000000</v>
      </c>
      <c r="L182" t="s">
        <v>476</v>
      </c>
      <c r="M182">
        <v>0</v>
      </c>
      <c r="N182" t="s">
        <v>481</v>
      </c>
      <c r="O182">
        <v>2022</v>
      </c>
      <c r="P182" t="s">
        <v>494</v>
      </c>
    </row>
    <row r="183" spans="1:16" x14ac:dyDescent="0.3">
      <c r="A183" t="s">
        <v>224</v>
      </c>
      <c r="B183" s="1">
        <v>45601</v>
      </c>
      <c r="C183" t="s">
        <v>28</v>
      </c>
      <c r="D183" t="s">
        <v>23</v>
      </c>
      <c r="E183" t="s">
        <v>24</v>
      </c>
      <c r="F183" t="s">
        <v>51</v>
      </c>
      <c r="G183">
        <v>12250000</v>
      </c>
      <c r="H183">
        <v>12250000</v>
      </c>
      <c r="I183" t="s">
        <v>20</v>
      </c>
      <c r="J183" s="1">
        <v>46430</v>
      </c>
      <c r="K183">
        <v>7000000</v>
      </c>
      <c r="L183" t="s">
        <v>18</v>
      </c>
      <c r="M183">
        <v>0</v>
      </c>
      <c r="N183" t="s">
        <v>481</v>
      </c>
      <c r="O183">
        <v>2022</v>
      </c>
      <c r="P183" t="s">
        <v>494</v>
      </c>
    </row>
    <row r="184" spans="1:16" x14ac:dyDescent="0.3">
      <c r="A184" t="s">
        <v>225</v>
      </c>
      <c r="B184" s="1">
        <v>45586</v>
      </c>
      <c r="C184" t="s">
        <v>31</v>
      </c>
      <c r="D184" t="s">
        <v>23</v>
      </c>
      <c r="E184" t="s">
        <v>24</v>
      </c>
      <c r="F184" t="s">
        <v>16</v>
      </c>
      <c r="G184">
        <v>4000000</v>
      </c>
      <c r="H184">
        <v>800000</v>
      </c>
      <c r="I184" t="s">
        <v>26</v>
      </c>
      <c r="J184" s="1">
        <v>46350</v>
      </c>
      <c r="K184">
        <v>7500000</v>
      </c>
      <c r="L184" t="s">
        <v>476</v>
      </c>
      <c r="M184">
        <v>525</v>
      </c>
      <c r="N184" t="s">
        <v>481</v>
      </c>
      <c r="O184">
        <v>2022</v>
      </c>
      <c r="P184" t="s">
        <v>495</v>
      </c>
    </row>
    <row r="185" spans="1:16" x14ac:dyDescent="0.3">
      <c r="A185" t="s">
        <v>226</v>
      </c>
      <c r="B185" s="1">
        <v>45538</v>
      </c>
      <c r="C185" t="s">
        <v>35</v>
      </c>
      <c r="D185" t="s">
        <v>23</v>
      </c>
      <c r="E185" t="s">
        <v>24</v>
      </c>
      <c r="F185" t="s">
        <v>51</v>
      </c>
      <c r="G185">
        <v>10450000</v>
      </c>
      <c r="H185">
        <v>4050000</v>
      </c>
      <c r="I185" t="s">
        <v>26</v>
      </c>
      <c r="J185" s="1">
        <v>45862</v>
      </c>
      <c r="K185">
        <v>9000000</v>
      </c>
      <c r="L185" t="s">
        <v>29</v>
      </c>
      <c r="M185">
        <v>573</v>
      </c>
      <c r="N185" t="s">
        <v>481</v>
      </c>
      <c r="O185">
        <v>2022</v>
      </c>
      <c r="P185" t="s">
        <v>495</v>
      </c>
    </row>
    <row r="186" spans="1:16" x14ac:dyDescent="0.3">
      <c r="A186" t="s">
        <v>227</v>
      </c>
      <c r="B186" s="1">
        <v>45597</v>
      </c>
      <c r="C186" t="s">
        <v>13</v>
      </c>
      <c r="D186" t="s">
        <v>23</v>
      </c>
      <c r="E186" t="s">
        <v>24</v>
      </c>
      <c r="F186" t="s">
        <v>16</v>
      </c>
      <c r="G186">
        <v>5250000</v>
      </c>
      <c r="H186">
        <v>700000</v>
      </c>
      <c r="I186" t="s">
        <v>26</v>
      </c>
      <c r="J186" s="1">
        <v>46367</v>
      </c>
      <c r="K186">
        <v>8500000</v>
      </c>
      <c r="L186" t="s">
        <v>29</v>
      </c>
      <c r="M186">
        <v>514</v>
      </c>
      <c r="N186" t="s">
        <v>481</v>
      </c>
      <c r="O186">
        <v>2022</v>
      </c>
      <c r="P186" t="s">
        <v>495</v>
      </c>
    </row>
    <row r="187" spans="1:16" x14ac:dyDescent="0.3">
      <c r="A187" t="s">
        <v>228</v>
      </c>
      <c r="B187" s="1">
        <v>45386</v>
      </c>
      <c r="C187" t="s">
        <v>28</v>
      </c>
      <c r="D187" t="s">
        <v>14</v>
      </c>
      <c r="E187" t="s">
        <v>15</v>
      </c>
      <c r="F187" t="s">
        <v>33</v>
      </c>
      <c r="G187">
        <v>6650000</v>
      </c>
      <c r="H187">
        <v>6650000</v>
      </c>
      <c r="I187" t="s">
        <v>20</v>
      </c>
      <c r="J187" s="1">
        <v>46250</v>
      </c>
      <c r="K187">
        <v>7000000</v>
      </c>
      <c r="L187" t="s">
        <v>42</v>
      </c>
      <c r="M187">
        <v>0</v>
      </c>
      <c r="N187" t="s">
        <v>480</v>
      </c>
      <c r="O187">
        <v>2021</v>
      </c>
      <c r="P187" t="s">
        <v>494</v>
      </c>
    </row>
    <row r="188" spans="1:16" x14ac:dyDescent="0.3">
      <c r="A188" t="s">
        <v>229</v>
      </c>
      <c r="B188" s="1">
        <v>45449</v>
      </c>
      <c r="C188" t="s">
        <v>31</v>
      </c>
      <c r="D188" t="s">
        <v>14</v>
      </c>
      <c r="E188" t="s">
        <v>15</v>
      </c>
      <c r="F188" t="s">
        <v>25</v>
      </c>
      <c r="G188">
        <v>3250000</v>
      </c>
      <c r="H188">
        <v>1100000</v>
      </c>
      <c r="I188" t="s">
        <v>26</v>
      </c>
      <c r="J188" s="1">
        <v>46174</v>
      </c>
      <c r="K188">
        <v>7500000</v>
      </c>
      <c r="L188" t="s">
        <v>52</v>
      </c>
      <c r="M188">
        <v>662</v>
      </c>
      <c r="N188" t="s">
        <v>480</v>
      </c>
      <c r="O188">
        <v>2021</v>
      </c>
      <c r="P188" t="s">
        <v>495</v>
      </c>
    </row>
    <row r="189" spans="1:16" x14ac:dyDescent="0.3">
      <c r="A189" t="s">
        <v>230</v>
      </c>
      <c r="B189" s="1">
        <v>45468</v>
      </c>
      <c r="C189" t="s">
        <v>13</v>
      </c>
      <c r="D189" t="s">
        <v>23</v>
      </c>
      <c r="E189" t="s">
        <v>24</v>
      </c>
      <c r="F189" t="s">
        <v>33</v>
      </c>
      <c r="G189">
        <v>7800000</v>
      </c>
      <c r="H189">
        <v>7800000</v>
      </c>
      <c r="I189" t="s">
        <v>20</v>
      </c>
      <c r="J189" s="1">
        <v>45873</v>
      </c>
      <c r="K189">
        <v>8500000</v>
      </c>
      <c r="L189" t="s">
        <v>476</v>
      </c>
      <c r="M189">
        <v>0</v>
      </c>
      <c r="N189" t="s">
        <v>481</v>
      </c>
      <c r="O189">
        <v>2022</v>
      </c>
      <c r="P189" t="s">
        <v>494</v>
      </c>
    </row>
    <row r="190" spans="1:16" x14ac:dyDescent="0.3">
      <c r="A190" t="s">
        <v>231</v>
      </c>
      <c r="B190" s="1">
        <v>45483</v>
      </c>
      <c r="C190" t="s">
        <v>31</v>
      </c>
      <c r="D190" t="s">
        <v>23</v>
      </c>
      <c r="E190" t="s">
        <v>24</v>
      </c>
      <c r="F190" t="s">
        <v>25</v>
      </c>
      <c r="G190">
        <v>2600000</v>
      </c>
      <c r="H190">
        <v>2600000</v>
      </c>
      <c r="I190" t="s">
        <v>20</v>
      </c>
      <c r="J190" s="1">
        <v>45758</v>
      </c>
      <c r="K190">
        <v>7500000</v>
      </c>
      <c r="L190" t="s">
        <v>476</v>
      </c>
      <c r="M190">
        <v>0</v>
      </c>
      <c r="N190" t="s">
        <v>481</v>
      </c>
      <c r="O190">
        <v>2022</v>
      </c>
      <c r="P190" t="s">
        <v>494</v>
      </c>
    </row>
    <row r="191" spans="1:16" x14ac:dyDescent="0.3">
      <c r="A191" t="s">
        <v>232</v>
      </c>
      <c r="B191" s="1">
        <v>45546</v>
      </c>
      <c r="C191" t="s">
        <v>31</v>
      </c>
      <c r="D191" t="s">
        <v>14</v>
      </c>
      <c r="E191" t="s">
        <v>15</v>
      </c>
      <c r="F191" t="s">
        <v>16</v>
      </c>
      <c r="G191">
        <v>4750000</v>
      </c>
      <c r="H191">
        <v>4750000</v>
      </c>
      <c r="I191" t="s">
        <v>20</v>
      </c>
      <c r="J191" s="1">
        <v>45897</v>
      </c>
      <c r="K191">
        <v>7500000</v>
      </c>
      <c r="L191" t="s">
        <v>38</v>
      </c>
      <c r="M191">
        <v>0</v>
      </c>
      <c r="N191" t="s">
        <v>480</v>
      </c>
      <c r="O191">
        <v>2021</v>
      </c>
      <c r="P191" t="s">
        <v>494</v>
      </c>
    </row>
    <row r="192" spans="1:16" x14ac:dyDescent="0.3">
      <c r="A192" t="s">
        <v>233</v>
      </c>
      <c r="B192" s="1">
        <v>45585</v>
      </c>
      <c r="C192" t="s">
        <v>13</v>
      </c>
      <c r="D192" t="s">
        <v>23</v>
      </c>
      <c r="E192" t="s">
        <v>24</v>
      </c>
      <c r="F192" t="s">
        <v>16</v>
      </c>
      <c r="G192">
        <v>4250000</v>
      </c>
      <c r="H192">
        <v>450000</v>
      </c>
      <c r="I192" t="s">
        <v>26</v>
      </c>
      <c r="J192" s="1">
        <v>46097</v>
      </c>
      <c r="K192">
        <v>8500000</v>
      </c>
      <c r="L192" t="s">
        <v>52</v>
      </c>
      <c r="M192">
        <v>526</v>
      </c>
      <c r="N192" t="s">
        <v>481</v>
      </c>
      <c r="O192">
        <v>2022</v>
      </c>
      <c r="P192" t="s">
        <v>495</v>
      </c>
    </row>
    <row r="193" spans="1:16" x14ac:dyDescent="0.3">
      <c r="A193" t="s">
        <v>234</v>
      </c>
      <c r="B193" s="1">
        <v>45626</v>
      </c>
      <c r="C193" t="s">
        <v>35</v>
      </c>
      <c r="D193" t="s">
        <v>14</v>
      </c>
      <c r="E193" t="s">
        <v>15</v>
      </c>
      <c r="F193" t="s">
        <v>33</v>
      </c>
      <c r="G193">
        <v>7000000</v>
      </c>
      <c r="H193">
        <v>1350000</v>
      </c>
      <c r="I193" t="s">
        <v>26</v>
      </c>
      <c r="J193" s="1">
        <v>46221</v>
      </c>
      <c r="K193">
        <v>9000000</v>
      </c>
      <c r="L193" t="s">
        <v>476</v>
      </c>
      <c r="M193">
        <v>485</v>
      </c>
      <c r="N193" t="s">
        <v>480</v>
      </c>
      <c r="O193">
        <v>2021</v>
      </c>
      <c r="P193" t="s">
        <v>495</v>
      </c>
    </row>
    <row r="194" spans="1:16" x14ac:dyDescent="0.3">
      <c r="A194" t="s">
        <v>235</v>
      </c>
      <c r="B194" s="1">
        <v>45432</v>
      </c>
      <c r="C194" t="s">
        <v>31</v>
      </c>
      <c r="D194" t="s">
        <v>14</v>
      </c>
      <c r="E194" t="s">
        <v>15</v>
      </c>
      <c r="F194" t="s">
        <v>33</v>
      </c>
      <c r="G194">
        <v>7200000</v>
      </c>
      <c r="H194">
        <v>2750000</v>
      </c>
      <c r="I194" t="s">
        <v>26</v>
      </c>
      <c r="J194" s="1">
        <v>45769</v>
      </c>
      <c r="K194">
        <v>7500000</v>
      </c>
      <c r="L194" t="s">
        <v>52</v>
      </c>
      <c r="M194">
        <v>679</v>
      </c>
      <c r="N194" t="s">
        <v>480</v>
      </c>
      <c r="O194">
        <v>2021</v>
      </c>
      <c r="P194" t="s">
        <v>495</v>
      </c>
    </row>
    <row r="195" spans="1:16" x14ac:dyDescent="0.3">
      <c r="A195" t="s">
        <v>236</v>
      </c>
      <c r="B195" s="1">
        <v>45371</v>
      </c>
      <c r="C195" t="s">
        <v>31</v>
      </c>
      <c r="D195" t="s">
        <v>14</v>
      </c>
      <c r="E195" t="s">
        <v>15</v>
      </c>
      <c r="F195" t="s">
        <v>33</v>
      </c>
      <c r="G195">
        <v>8750000</v>
      </c>
      <c r="H195">
        <v>8750000</v>
      </c>
      <c r="I195" t="s">
        <v>20</v>
      </c>
      <c r="J195" s="1">
        <v>45872</v>
      </c>
      <c r="K195">
        <v>7500000</v>
      </c>
      <c r="L195" t="s">
        <v>42</v>
      </c>
      <c r="M195">
        <v>0</v>
      </c>
      <c r="N195" t="s">
        <v>480</v>
      </c>
      <c r="O195">
        <v>2021</v>
      </c>
      <c r="P195" t="s">
        <v>494</v>
      </c>
    </row>
    <row r="196" spans="1:16" x14ac:dyDescent="0.3">
      <c r="A196" t="s">
        <v>237</v>
      </c>
      <c r="B196" s="1">
        <v>45519</v>
      </c>
      <c r="C196" t="s">
        <v>31</v>
      </c>
      <c r="D196" t="s">
        <v>14</v>
      </c>
      <c r="E196" t="s">
        <v>15</v>
      </c>
      <c r="F196" t="s">
        <v>25</v>
      </c>
      <c r="G196">
        <v>2850000</v>
      </c>
      <c r="H196">
        <v>2850000</v>
      </c>
      <c r="I196" t="s">
        <v>20</v>
      </c>
      <c r="J196" s="1">
        <v>45999</v>
      </c>
      <c r="K196">
        <v>7500000</v>
      </c>
      <c r="L196" t="s">
        <v>40</v>
      </c>
      <c r="M196">
        <v>0</v>
      </c>
      <c r="N196" t="s">
        <v>480</v>
      </c>
      <c r="O196">
        <v>2021</v>
      </c>
      <c r="P196" t="s">
        <v>494</v>
      </c>
    </row>
    <row r="197" spans="1:16" x14ac:dyDescent="0.3">
      <c r="A197" t="s">
        <v>238</v>
      </c>
      <c r="B197" s="1">
        <v>45315</v>
      </c>
      <c r="C197" t="s">
        <v>28</v>
      </c>
      <c r="D197" t="s">
        <v>14</v>
      </c>
      <c r="E197" t="s">
        <v>15</v>
      </c>
      <c r="F197" t="s">
        <v>51</v>
      </c>
      <c r="G197">
        <v>13000000</v>
      </c>
      <c r="H197">
        <v>3800000</v>
      </c>
      <c r="I197" t="s">
        <v>26</v>
      </c>
      <c r="J197" s="1">
        <v>46004</v>
      </c>
      <c r="K197">
        <v>7000000</v>
      </c>
      <c r="L197" t="s">
        <v>476</v>
      </c>
      <c r="M197">
        <v>796</v>
      </c>
      <c r="N197" t="s">
        <v>480</v>
      </c>
      <c r="O197">
        <v>2021</v>
      </c>
      <c r="P197" t="s">
        <v>495</v>
      </c>
    </row>
    <row r="198" spans="1:16" x14ac:dyDescent="0.3">
      <c r="A198" t="s">
        <v>239</v>
      </c>
      <c r="B198" s="1">
        <v>45537</v>
      </c>
      <c r="C198" t="s">
        <v>31</v>
      </c>
      <c r="D198" t="s">
        <v>23</v>
      </c>
      <c r="E198" t="s">
        <v>24</v>
      </c>
      <c r="F198" t="s">
        <v>33</v>
      </c>
      <c r="G198">
        <v>7650000</v>
      </c>
      <c r="H198">
        <v>7650000</v>
      </c>
      <c r="I198" t="s">
        <v>20</v>
      </c>
      <c r="J198" s="1">
        <v>45828</v>
      </c>
      <c r="K198">
        <v>7500000</v>
      </c>
      <c r="L198" t="s">
        <v>29</v>
      </c>
      <c r="M198">
        <v>0</v>
      </c>
      <c r="N198" t="s">
        <v>481</v>
      </c>
      <c r="O198">
        <v>2022</v>
      </c>
      <c r="P198" t="s">
        <v>494</v>
      </c>
    </row>
    <row r="199" spans="1:16" x14ac:dyDescent="0.3">
      <c r="A199" t="s">
        <v>240</v>
      </c>
      <c r="B199" s="1">
        <v>45354</v>
      </c>
      <c r="C199" t="s">
        <v>35</v>
      </c>
      <c r="D199" t="s">
        <v>14</v>
      </c>
      <c r="E199" t="s">
        <v>15</v>
      </c>
      <c r="F199" t="s">
        <v>25</v>
      </c>
      <c r="G199">
        <v>2550000</v>
      </c>
      <c r="H199">
        <v>2550000</v>
      </c>
      <c r="I199" t="s">
        <v>20</v>
      </c>
      <c r="J199" s="1">
        <v>45927</v>
      </c>
      <c r="K199">
        <v>9000000</v>
      </c>
      <c r="L199" t="s">
        <v>476</v>
      </c>
      <c r="M199">
        <v>0</v>
      </c>
      <c r="N199" t="s">
        <v>480</v>
      </c>
      <c r="O199">
        <v>2021</v>
      </c>
      <c r="P199" t="s">
        <v>494</v>
      </c>
    </row>
    <row r="200" spans="1:16" x14ac:dyDescent="0.3">
      <c r="A200" t="s">
        <v>241</v>
      </c>
      <c r="B200" s="1">
        <v>45328</v>
      </c>
      <c r="C200" t="s">
        <v>31</v>
      </c>
      <c r="D200" t="s">
        <v>44</v>
      </c>
      <c r="E200" t="s">
        <v>45</v>
      </c>
      <c r="F200" t="s">
        <v>33</v>
      </c>
      <c r="G200">
        <v>7350000</v>
      </c>
      <c r="H200">
        <v>1000000</v>
      </c>
      <c r="I200" t="s">
        <v>26</v>
      </c>
      <c r="J200" s="1">
        <v>45738</v>
      </c>
      <c r="K200">
        <v>7500000</v>
      </c>
      <c r="L200" t="s">
        <v>52</v>
      </c>
      <c r="M200">
        <v>783</v>
      </c>
      <c r="N200" t="s">
        <v>482</v>
      </c>
      <c r="O200">
        <v>2023</v>
      </c>
      <c r="P200" t="s">
        <v>495</v>
      </c>
    </row>
    <row r="201" spans="1:16" x14ac:dyDescent="0.3">
      <c r="A201" t="s">
        <v>242</v>
      </c>
      <c r="B201" s="1">
        <v>45563</v>
      </c>
      <c r="C201" t="s">
        <v>35</v>
      </c>
      <c r="D201" t="s">
        <v>23</v>
      </c>
      <c r="E201" t="s">
        <v>24</v>
      </c>
      <c r="F201" t="s">
        <v>16</v>
      </c>
      <c r="G201">
        <v>5450000</v>
      </c>
      <c r="H201">
        <v>1000000</v>
      </c>
      <c r="I201" t="s">
        <v>26</v>
      </c>
      <c r="J201" s="1">
        <v>46000</v>
      </c>
      <c r="K201">
        <v>9000000</v>
      </c>
      <c r="L201" t="s">
        <v>29</v>
      </c>
      <c r="M201">
        <v>548</v>
      </c>
      <c r="N201" t="s">
        <v>481</v>
      </c>
      <c r="O201">
        <v>2022</v>
      </c>
      <c r="P201" t="s">
        <v>495</v>
      </c>
    </row>
    <row r="202" spans="1:16" x14ac:dyDescent="0.3">
      <c r="A202" t="s">
        <v>243</v>
      </c>
      <c r="B202" s="1">
        <v>45545</v>
      </c>
      <c r="C202" t="s">
        <v>31</v>
      </c>
      <c r="D202" t="s">
        <v>23</v>
      </c>
      <c r="E202" t="s">
        <v>24</v>
      </c>
      <c r="F202" t="s">
        <v>25</v>
      </c>
      <c r="G202">
        <v>2500000</v>
      </c>
      <c r="H202">
        <v>2500000</v>
      </c>
      <c r="I202" t="s">
        <v>20</v>
      </c>
      <c r="J202" s="1">
        <v>46306</v>
      </c>
      <c r="K202">
        <v>7500000</v>
      </c>
      <c r="L202" t="s">
        <v>38</v>
      </c>
      <c r="M202">
        <v>0</v>
      </c>
      <c r="N202" t="s">
        <v>481</v>
      </c>
      <c r="O202">
        <v>2022</v>
      </c>
      <c r="P202" t="s">
        <v>494</v>
      </c>
    </row>
    <row r="203" spans="1:16" x14ac:dyDescent="0.3">
      <c r="A203" t="s">
        <v>244</v>
      </c>
      <c r="B203" s="1">
        <v>45539</v>
      </c>
      <c r="C203" t="s">
        <v>13</v>
      </c>
      <c r="D203" t="s">
        <v>23</v>
      </c>
      <c r="E203" t="s">
        <v>24</v>
      </c>
      <c r="F203" t="s">
        <v>16</v>
      </c>
      <c r="G203">
        <v>5800000</v>
      </c>
      <c r="H203">
        <v>5800000</v>
      </c>
      <c r="I203" t="s">
        <v>20</v>
      </c>
      <c r="J203" s="1">
        <v>45807</v>
      </c>
      <c r="K203">
        <v>8500000</v>
      </c>
      <c r="L203" t="s">
        <v>18</v>
      </c>
      <c r="M203">
        <v>0</v>
      </c>
      <c r="N203" t="s">
        <v>481</v>
      </c>
      <c r="O203">
        <v>2022</v>
      </c>
      <c r="P203" t="s">
        <v>494</v>
      </c>
    </row>
    <row r="204" spans="1:16" x14ac:dyDescent="0.3">
      <c r="A204" t="s">
        <v>245</v>
      </c>
      <c r="B204" s="1">
        <v>45467</v>
      </c>
      <c r="C204" t="s">
        <v>22</v>
      </c>
      <c r="D204" t="s">
        <v>14</v>
      </c>
      <c r="E204" t="s">
        <v>15</v>
      </c>
      <c r="F204" t="s">
        <v>33</v>
      </c>
      <c r="G204">
        <v>7500000</v>
      </c>
      <c r="H204">
        <v>1150000</v>
      </c>
      <c r="I204" t="s">
        <v>26</v>
      </c>
      <c r="J204" s="1">
        <v>45810</v>
      </c>
      <c r="K204">
        <v>8000000</v>
      </c>
      <c r="L204" t="s">
        <v>40</v>
      </c>
      <c r="M204">
        <v>644</v>
      </c>
      <c r="N204" t="s">
        <v>480</v>
      </c>
      <c r="O204">
        <v>2021</v>
      </c>
      <c r="P204" t="s">
        <v>495</v>
      </c>
    </row>
    <row r="205" spans="1:16" x14ac:dyDescent="0.3">
      <c r="A205" t="s">
        <v>246</v>
      </c>
      <c r="B205" s="1">
        <v>45462</v>
      </c>
      <c r="C205" t="s">
        <v>31</v>
      </c>
      <c r="D205" t="s">
        <v>23</v>
      </c>
      <c r="E205" t="s">
        <v>24</v>
      </c>
      <c r="F205" t="s">
        <v>16</v>
      </c>
      <c r="G205">
        <v>5550000</v>
      </c>
      <c r="H205">
        <v>1450000</v>
      </c>
      <c r="I205" t="s">
        <v>26</v>
      </c>
      <c r="J205" s="1">
        <v>46079</v>
      </c>
      <c r="K205">
        <v>7500000</v>
      </c>
      <c r="L205" t="s">
        <v>476</v>
      </c>
      <c r="M205">
        <v>649</v>
      </c>
      <c r="N205" t="s">
        <v>481</v>
      </c>
      <c r="O205">
        <v>2022</v>
      </c>
      <c r="P205" t="s">
        <v>495</v>
      </c>
    </row>
    <row r="206" spans="1:16" x14ac:dyDescent="0.3">
      <c r="A206" t="s">
        <v>247</v>
      </c>
      <c r="B206" s="1">
        <v>45445</v>
      </c>
      <c r="C206" t="s">
        <v>22</v>
      </c>
      <c r="D206" t="s">
        <v>44</v>
      </c>
      <c r="E206" t="s">
        <v>45</v>
      </c>
      <c r="F206" t="s">
        <v>51</v>
      </c>
      <c r="G206">
        <v>9750000</v>
      </c>
      <c r="H206">
        <v>9750000</v>
      </c>
      <c r="I206" t="s">
        <v>20</v>
      </c>
      <c r="J206" s="1">
        <v>46040</v>
      </c>
      <c r="K206">
        <v>8000000</v>
      </c>
      <c r="L206" t="s">
        <v>476</v>
      </c>
      <c r="M206">
        <v>0</v>
      </c>
      <c r="N206" t="s">
        <v>482</v>
      </c>
      <c r="O206">
        <v>2023</v>
      </c>
      <c r="P206" t="s">
        <v>494</v>
      </c>
    </row>
    <row r="207" spans="1:16" x14ac:dyDescent="0.3">
      <c r="A207" t="s">
        <v>248</v>
      </c>
      <c r="B207" s="1">
        <v>45597</v>
      </c>
      <c r="C207" t="s">
        <v>13</v>
      </c>
      <c r="D207" t="s">
        <v>14</v>
      </c>
      <c r="E207" t="s">
        <v>15</v>
      </c>
      <c r="F207" t="s">
        <v>33</v>
      </c>
      <c r="G207">
        <v>6700000</v>
      </c>
      <c r="H207">
        <v>1650000</v>
      </c>
      <c r="I207" t="s">
        <v>26</v>
      </c>
      <c r="J207" s="1">
        <v>46313</v>
      </c>
      <c r="K207">
        <v>8500000</v>
      </c>
      <c r="L207" t="s">
        <v>476</v>
      </c>
      <c r="M207">
        <v>514</v>
      </c>
      <c r="N207" t="s">
        <v>480</v>
      </c>
      <c r="O207">
        <v>2021</v>
      </c>
      <c r="P207" t="s">
        <v>495</v>
      </c>
    </row>
    <row r="208" spans="1:16" x14ac:dyDescent="0.3">
      <c r="A208" t="s">
        <v>249</v>
      </c>
      <c r="B208" s="1">
        <v>45295</v>
      </c>
      <c r="C208" t="s">
        <v>22</v>
      </c>
      <c r="D208" t="s">
        <v>14</v>
      </c>
      <c r="E208" t="s">
        <v>15</v>
      </c>
      <c r="F208" t="s">
        <v>16</v>
      </c>
      <c r="G208">
        <v>4150000</v>
      </c>
      <c r="H208">
        <v>4150000</v>
      </c>
      <c r="I208" t="s">
        <v>20</v>
      </c>
      <c r="J208" s="1">
        <v>45813</v>
      </c>
      <c r="K208">
        <v>8000000</v>
      </c>
      <c r="L208" t="s">
        <v>38</v>
      </c>
      <c r="M208">
        <v>0</v>
      </c>
      <c r="N208" t="s">
        <v>480</v>
      </c>
      <c r="O208">
        <v>2021</v>
      </c>
      <c r="P208" t="s">
        <v>494</v>
      </c>
    </row>
    <row r="209" spans="1:16" x14ac:dyDescent="0.3">
      <c r="A209" t="s">
        <v>250</v>
      </c>
      <c r="B209" s="1">
        <v>45425</v>
      </c>
      <c r="C209" t="s">
        <v>13</v>
      </c>
      <c r="D209" t="s">
        <v>23</v>
      </c>
      <c r="E209" t="s">
        <v>24</v>
      </c>
      <c r="F209" t="s">
        <v>16</v>
      </c>
      <c r="G209">
        <v>4650000</v>
      </c>
      <c r="H209">
        <v>1450000</v>
      </c>
      <c r="I209" t="s">
        <v>26</v>
      </c>
      <c r="J209" s="1">
        <v>45616</v>
      </c>
      <c r="K209">
        <v>8500000</v>
      </c>
      <c r="L209" t="s">
        <v>18</v>
      </c>
      <c r="M209">
        <v>686</v>
      </c>
      <c r="N209" t="s">
        <v>481</v>
      </c>
      <c r="O209">
        <v>2022</v>
      </c>
      <c r="P209" t="s">
        <v>495</v>
      </c>
    </row>
    <row r="210" spans="1:16" x14ac:dyDescent="0.3">
      <c r="A210" t="s">
        <v>251</v>
      </c>
      <c r="B210" s="1">
        <v>45353</v>
      </c>
      <c r="C210" t="s">
        <v>31</v>
      </c>
      <c r="D210" t="s">
        <v>14</v>
      </c>
      <c r="E210" t="s">
        <v>15</v>
      </c>
      <c r="F210" t="s">
        <v>16</v>
      </c>
      <c r="G210">
        <v>4450000</v>
      </c>
      <c r="H210">
        <v>0</v>
      </c>
      <c r="I210" t="s">
        <v>17</v>
      </c>
      <c r="J210" s="1">
        <v>46028</v>
      </c>
      <c r="K210">
        <v>7500000</v>
      </c>
      <c r="L210" t="s">
        <v>18</v>
      </c>
      <c r="M210">
        <v>0</v>
      </c>
      <c r="N210" t="s">
        <v>480</v>
      </c>
      <c r="O210">
        <v>2021</v>
      </c>
      <c r="P210" t="s">
        <v>476</v>
      </c>
    </row>
    <row r="211" spans="1:16" x14ac:dyDescent="0.3">
      <c r="A211" t="s">
        <v>252</v>
      </c>
      <c r="B211" s="1">
        <v>45465</v>
      </c>
      <c r="C211" t="s">
        <v>28</v>
      </c>
      <c r="D211" t="s">
        <v>23</v>
      </c>
      <c r="E211" t="s">
        <v>24</v>
      </c>
      <c r="F211" t="s">
        <v>25</v>
      </c>
      <c r="G211">
        <v>2850000</v>
      </c>
      <c r="H211">
        <v>2850000</v>
      </c>
      <c r="I211" t="s">
        <v>20</v>
      </c>
      <c r="J211" s="1">
        <v>46216</v>
      </c>
      <c r="K211">
        <v>7000000</v>
      </c>
      <c r="L211" t="s">
        <v>476</v>
      </c>
      <c r="M211">
        <v>0</v>
      </c>
      <c r="N211" t="s">
        <v>481</v>
      </c>
      <c r="O211">
        <v>2022</v>
      </c>
      <c r="P211" t="s">
        <v>494</v>
      </c>
    </row>
    <row r="212" spans="1:16" x14ac:dyDescent="0.3">
      <c r="A212" t="s">
        <v>253</v>
      </c>
      <c r="B212" s="1">
        <v>45440</v>
      </c>
      <c r="C212" t="s">
        <v>35</v>
      </c>
      <c r="D212" t="s">
        <v>23</v>
      </c>
      <c r="E212" t="s">
        <v>24</v>
      </c>
      <c r="F212" t="s">
        <v>16</v>
      </c>
      <c r="G212">
        <v>4950000</v>
      </c>
      <c r="H212">
        <v>4950000</v>
      </c>
      <c r="I212" t="s">
        <v>20</v>
      </c>
      <c r="J212" s="1">
        <v>46325</v>
      </c>
      <c r="K212">
        <v>9000000</v>
      </c>
      <c r="L212" t="s">
        <v>42</v>
      </c>
      <c r="M212">
        <v>0</v>
      </c>
      <c r="N212" t="s">
        <v>481</v>
      </c>
      <c r="O212">
        <v>2022</v>
      </c>
      <c r="P212" t="s">
        <v>494</v>
      </c>
    </row>
    <row r="213" spans="1:16" x14ac:dyDescent="0.3">
      <c r="A213" t="s">
        <v>254</v>
      </c>
      <c r="B213" s="1">
        <v>45302</v>
      </c>
      <c r="C213" t="s">
        <v>13</v>
      </c>
      <c r="D213" t="s">
        <v>14</v>
      </c>
      <c r="E213" t="s">
        <v>15</v>
      </c>
      <c r="F213" t="s">
        <v>33</v>
      </c>
      <c r="G213">
        <v>8100000</v>
      </c>
      <c r="H213">
        <v>8100000</v>
      </c>
      <c r="I213" t="s">
        <v>20</v>
      </c>
      <c r="J213" s="1">
        <v>45741</v>
      </c>
      <c r="K213">
        <v>8500000</v>
      </c>
      <c r="L213" t="s">
        <v>42</v>
      </c>
      <c r="M213">
        <v>0</v>
      </c>
      <c r="N213" t="s">
        <v>480</v>
      </c>
      <c r="O213">
        <v>2021</v>
      </c>
      <c r="P213" t="s">
        <v>494</v>
      </c>
    </row>
    <row r="214" spans="1:16" x14ac:dyDescent="0.3">
      <c r="A214" t="s">
        <v>255</v>
      </c>
      <c r="B214" s="1">
        <v>45463</v>
      </c>
      <c r="C214" t="s">
        <v>22</v>
      </c>
      <c r="D214" t="s">
        <v>23</v>
      </c>
      <c r="E214" t="s">
        <v>24</v>
      </c>
      <c r="F214" t="s">
        <v>51</v>
      </c>
      <c r="G214">
        <v>12100000</v>
      </c>
      <c r="H214">
        <v>12100000</v>
      </c>
      <c r="I214" t="s">
        <v>20</v>
      </c>
      <c r="J214" s="1">
        <v>45853</v>
      </c>
      <c r="K214">
        <v>8000000</v>
      </c>
      <c r="L214" t="s">
        <v>476</v>
      </c>
      <c r="M214">
        <v>0</v>
      </c>
      <c r="N214" t="s">
        <v>481</v>
      </c>
      <c r="O214">
        <v>2022</v>
      </c>
      <c r="P214" t="s">
        <v>494</v>
      </c>
    </row>
    <row r="215" spans="1:16" x14ac:dyDescent="0.3">
      <c r="A215" t="s">
        <v>256</v>
      </c>
      <c r="B215" s="1">
        <v>45452</v>
      </c>
      <c r="C215" t="s">
        <v>22</v>
      </c>
      <c r="D215" t="s">
        <v>14</v>
      </c>
      <c r="E215" t="s">
        <v>15</v>
      </c>
      <c r="F215" t="s">
        <v>16</v>
      </c>
      <c r="G215">
        <v>4800000</v>
      </c>
      <c r="H215">
        <v>0</v>
      </c>
      <c r="I215" t="s">
        <v>17</v>
      </c>
      <c r="J215" s="1">
        <v>45776</v>
      </c>
      <c r="K215">
        <v>8000000</v>
      </c>
      <c r="L215" t="s">
        <v>476</v>
      </c>
      <c r="M215">
        <v>0</v>
      </c>
      <c r="N215" t="s">
        <v>480</v>
      </c>
      <c r="O215">
        <v>2021</v>
      </c>
      <c r="P215" t="s">
        <v>476</v>
      </c>
    </row>
    <row r="216" spans="1:16" x14ac:dyDescent="0.3">
      <c r="A216" t="s">
        <v>257</v>
      </c>
      <c r="B216" s="1">
        <v>45530</v>
      </c>
      <c r="C216" t="s">
        <v>28</v>
      </c>
      <c r="D216" t="s">
        <v>23</v>
      </c>
      <c r="E216" t="s">
        <v>24</v>
      </c>
      <c r="F216" t="s">
        <v>16</v>
      </c>
      <c r="G216">
        <v>4750000</v>
      </c>
      <c r="H216">
        <v>1750000</v>
      </c>
      <c r="I216" t="s">
        <v>26</v>
      </c>
      <c r="J216" s="1">
        <v>46187</v>
      </c>
      <c r="K216">
        <v>7000000</v>
      </c>
      <c r="L216" t="s">
        <v>38</v>
      </c>
      <c r="M216">
        <v>581</v>
      </c>
      <c r="N216" t="s">
        <v>481</v>
      </c>
      <c r="O216">
        <v>2022</v>
      </c>
      <c r="P216" t="s">
        <v>495</v>
      </c>
    </row>
    <row r="217" spans="1:16" x14ac:dyDescent="0.3">
      <c r="A217" t="s">
        <v>258</v>
      </c>
      <c r="B217" s="1">
        <v>45571</v>
      </c>
      <c r="C217" t="s">
        <v>31</v>
      </c>
      <c r="D217" t="s">
        <v>23</v>
      </c>
      <c r="E217" t="s">
        <v>24</v>
      </c>
      <c r="F217" t="s">
        <v>25</v>
      </c>
      <c r="G217">
        <v>2750000</v>
      </c>
      <c r="H217">
        <v>550000</v>
      </c>
      <c r="I217" t="s">
        <v>26</v>
      </c>
      <c r="J217" s="1">
        <v>46461</v>
      </c>
      <c r="K217">
        <v>7500000</v>
      </c>
      <c r="L217" t="s">
        <v>42</v>
      </c>
      <c r="M217">
        <v>540</v>
      </c>
      <c r="N217" t="s">
        <v>481</v>
      </c>
      <c r="O217">
        <v>2022</v>
      </c>
      <c r="P217" t="s">
        <v>495</v>
      </c>
    </row>
    <row r="218" spans="1:16" x14ac:dyDescent="0.3">
      <c r="A218" t="s">
        <v>259</v>
      </c>
      <c r="B218" s="1">
        <v>45366</v>
      </c>
      <c r="C218" t="s">
        <v>31</v>
      </c>
      <c r="D218" t="s">
        <v>23</v>
      </c>
      <c r="E218" t="s">
        <v>24</v>
      </c>
      <c r="F218" t="s">
        <v>33</v>
      </c>
      <c r="G218">
        <v>7100000</v>
      </c>
      <c r="H218">
        <v>0</v>
      </c>
      <c r="I218" t="s">
        <v>17</v>
      </c>
      <c r="J218" s="1">
        <v>46026</v>
      </c>
      <c r="K218">
        <v>7500000</v>
      </c>
      <c r="L218" t="s">
        <v>476</v>
      </c>
      <c r="M218">
        <v>0</v>
      </c>
      <c r="N218" t="s">
        <v>481</v>
      </c>
      <c r="O218">
        <v>2022</v>
      </c>
      <c r="P218" t="s">
        <v>476</v>
      </c>
    </row>
    <row r="219" spans="1:16" x14ac:dyDescent="0.3">
      <c r="A219" t="s">
        <v>260</v>
      </c>
      <c r="B219" s="1">
        <v>45415</v>
      </c>
      <c r="C219" t="s">
        <v>31</v>
      </c>
      <c r="D219" t="s">
        <v>14</v>
      </c>
      <c r="E219" t="s">
        <v>15</v>
      </c>
      <c r="F219" t="s">
        <v>16</v>
      </c>
      <c r="G219">
        <v>5250000</v>
      </c>
      <c r="H219">
        <v>0</v>
      </c>
      <c r="I219" t="s">
        <v>17</v>
      </c>
      <c r="J219" s="1">
        <v>46315</v>
      </c>
      <c r="K219">
        <v>7500000</v>
      </c>
      <c r="L219" t="s">
        <v>42</v>
      </c>
      <c r="M219">
        <v>0</v>
      </c>
      <c r="N219" t="s">
        <v>480</v>
      </c>
      <c r="O219">
        <v>2021</v>
      </c>
      <c r="P219" t="s">
        <v>476</v>
      </c>
    </row>
    <row r="220" spans="1:16" x14ac:dyDescent="0.3">
      <c r="A220" t="s">
        <v>261</v>
      </c>
      <c r="B220" s="1">
        <v>45604</v>
      </c>
      <c r="C220" t="s">
        <v>13</v>
      </c>
      <c r="D220" t="s">
        <v>14</v>
      </c>
      <c r="E220" t="s">
        <v>15</v>
      </c>
      <c r="F220" t="s">
        <v>16</v>
      </c>
      <c r="G220">
        <v>5900000</v>
      </c>
      <c r="H220">
        <v>850000</v>
      </c>
      <c r="I220" t="s">
        <v>26</v>
      </c>
      <c r="J220" s="1">
        <v>46256</v>
      </c>
      <c r="K220">
        <v>8500000</v>
      </c>
      <c r="L220" t="s">
        <v>18</v>
      </c>
      <c r="M220">
        <v>507</v>
      </c>
      <c r="N220" t="s">
        <v>480</v>
      </c>
      <c r="O220">
        <v>2021</v>
      </c>
      <c r="P220" t="s">
        <v>495</v>
      </c>
    </row>
    <row r="221" spans="1:16" x14ac:dyDescent="0.3">
      <c r="A221" t="s">
        <v>262</v>
      </c>
      <c r="B221" s="1">
        <v>45416</v>
      </c>
      <c r="C221" t="s">
        <v>13</v>
      </c>
      <c r="D221" t="s">
        <v>14</v>
      </c>
      <c r="E221" t="s">
        <v>15</v>
      </c>
      <c r="F221" t="s">
        <v>25</v>
      </c>
      <c r="G221">
        <v>2600000</v>
      </c>
      <c r="H221">
        <v>0</v>
      </c>
      <c r="I221" t="s">
        <v>17</v>
      </c>
      <c r="J221" s="1">
        <v>46037</v>
      </c>
      <c r="K221">
        <v>8500000</v>
      </c>
      <c r="L221" t="s">
        <v>40</v>
      </c>
      <c r="M221">
        <v>0</v>
      </c>
      <c r="N221" t="s">
        <v>480</v>
      </c>
      <c r="O221">
        <v>2021</v>
      </c>
      <c r="P221" t="s">
        <v>476</v>
      </c>
    </row>
    <row r="222" spans="1:16" x14ac:dyDescent="0.3">
      <c r="A222" t="s">
        <v>263</v>
      </c>
      <c r="B222" s="1">
        <v>45443</v>
      </c>
      <c r="C222" t="s">
        <v>28</v>
      </c>
      <c r="D222" t="s">
        <v>14</v>
      </c>
      <c r="E222" t="s">
        <v>15</v>
      </c>
      <c r="F222" t="s">
        <v>16</v>
      </c>
      <c r="G222">
        <v>5300000</v>
      </c>
      <c r="H222">
        <v>0</v>
      </c>
      <c r="I222" t="s">
        <v>17</v>
      </c>
      <c r="J222" s="1">
        <v>46038</v>
      </c>
      <c r="K222">
        <v>7000000</v>
      </c>
      <c r="L222" t="s">
        <v>476</v>
      </c>
      <c r="M222">
        <v>0</v>
      </c>
      <c r="N222" t="s">
        <v>480</v>
      </c>
      <c r="O222">
        <v>2021</v>
      </c>
      <c r="P222" t="s">
        <v>476</v>
      </c>
    </row>
    <row r="223" spans="1:16" x14ac:dyDescent="0.3">
      <c r="A223" t="s">
        <v>264</v>
      </c>
      <c r="B223" s="1">
        <v>45384</v>
      </c>
      <c r="C223" t="s">
        <v>22</v>
      </c>
      <c r="D223" t="s">
        <v>14</v>
      </c>
      <c r="E223" t="s">
        <v>15</v>
      </c>
      <c r="F223" t="s">
        <v>25</v>
      </c>
      <c r="G223">
        <v>3450000</v>
      </c>
      <c r="H223">
        <v>3450000</v>
      </c>
      <c r="I223" t="s">
        <v>20</v>
      </c>
      <c r="J223" s="1">
        <v>45623</v>
      </c>
      <c r="K223">
        <v>8000000</v>
      </c>
      <c r="L223" t="s">
        <v>476</v>
      </c>
      <c r="M223">
        <v>0</v>
      </c>
      <c r="N223" t="s">
        <v>480</v>
      </c>
      <c r="O223">
        <v>2021</v>
      </c>
      <c r="P223" t="s">
        <v>494</v>
      </c>
    </row>
    <row r="224" spans="1:16" x14ac:dyDescent="0.3">
      <c r="A224" t="s">
        <v>265</v>
      </c>
      <c r="B224" s="1">
        <v>45477</v>
      </c>
      <c r="C224" t="s">
        <v>28</v>
      </c>
      <c r="D224" t="s">
        <v>23</v>
      </c>
      <c r="E224" t="s">
        <v>24</v>
      </c>
      <c r="F224" t="s">
        <v>33</v>
      </c>
      <c r="G224">
        <v>7450000</v>
      </c>
      <c r="H224">
        <v>850000</v>
      </c>
      <c r="I224" t="s">
        <v>26</v>
      </c>
      <c r="J224" s="1">
        <v>46331</v>
      </c>
      <c r="K224">
        <v>7000000</v>
      </c>
      <c r="L224" t="s">
        <v>476</v>
      </c>
      <c r="M224">
        <v>634</v>
      </c>
      <c r="N224" t="s">
        <v>481</v>
      </c>
      <c r="O224">
        <v>2022</v>
      </c>
      <c r="P224" t="s">
        <v>495</v>
      </c>
    </row>
    <row r="225" spans="1:16" x14ac:dyDescent="0.3">
      <c r="A225" t="s">
        <v>266</v>
      </c>
      <c r="B225" s="1">
        <v>45613</v>
      </c>
      <c r="C225" t="s">
        <v>35</v>
      </c>
      <c r="D225" t="s">
        <v>14</v>
      </c>
      <c r="E225" t="s">
        <v>15</v>
      </c>
      <c r="F225" t="s">
        <v>16</v>
      </c>
      <c r="G225">
        <v>4950000</v>
      </c>
      <c r="H225">
        <v>0</v>
      </c>
      <c r="I225" t="s">
        <v>17</v>
      </c>
      <c r="J225" s="1">
        <v>46103</v>
      </c>
      <c r="K225">
        <v>9000000</v>
      </c>
      <c r="L225" t="s">
        <v>18</v>
      </c>
      <c r="M225">
        <v>0</v>
      </c>
      <c r="N225" t="s">
        <v>480</v>
      </c>
      <c r="O225">
        <v>2021</v>
      </c>
      <c r="P225" t="s">
        <v>476</v>
      </c>
    </row>
    <row r="226" spans="1:16" x14ac:dyDescent="0.3">
      <c r="A226" t="s">
        <v>267</v>
      </c>
      <c r="B226" s="1">
        <v>45522</v>
      </c>
      <c r="C226" t="s">
        <v>13</v>
      </c>
      <c r="D226" t="s">
        <v>23</v>
      </c>
      <c r="E226" t="s">
        <v>24</v>
      </c>
      <c r="F226" t="s">
        <v>16</v>
      </c>
      <c r="G226">
        <v>5850000</v>
      </c>
      <c r="H226">
        <v>1700000</v>
      </c>
      <c r="I226" t="s">
        <v>26</v>
      </c>
      <c r="J226" s="1">
        <v>45888</v>
      </c>
      <c r="K226">
        <v>8500000</v>
      </c>
      <c r="L226" t="s">
        <v>52</v>
      </c>
      <c r="M226">
        <v>589</v>
      </c>
      <c r="N226" t="s">
        <v>481</v>
      </c>
      <c r="O226">
        <v>2022</v>
      </c>
      <c r="P226" t="s">
        <v>495</v>
      </c>
    </row>
    <row r="227" spans="1:16" x14ac:dyDescent="0.3">
      <c r="A227" t="s">
        <v>268</v>
      </c>
      <c r="B227" s="1">
        <v>45641</v>
      </c>
      <c r="C227" t="s">
        <v>31</v>
      </c>
      <c r="D227" t="s">
        <v>23</v>
      </c>
      <c r="E227" t="s">
        <v>24</v>
      </c>
      <c r="F227" t="s">
        <v>51</v>
      </c>
      <c r="G227">
        <v>12900000</v>
      </c>
      <c r="H227">
        <v>4200000</v>
      </c>
      <c r="I227" t="s">
        <v>26</v>
      </c>
      <c r="J227" s="1">
        <v>46063</v>
      </c>
      <c r="K227">
        <v>7500000</v>
      </c>
      <c r="L227" t="s">
        <v>52</v>
      </c>
      <c r="M227">
        <v>470</v>
      </c>
      <c r="N227" t="s">
        <v>481</v>
      </c>
      <c r="O227">
        <v>2022</v>
      </c>
      <c r="P227" t="s">
        <v>495</v>
      </c>
    </row>
    <row r="228" spans="1:16" x14ac:dyDescent="0.3">
      <c r="A228" t="s">
        <v>269</v>
      </c>
      <c r="B228" s="1">
        <v>45295</v>
      </c>
      <c r="C228" t="s">
        <v>13</v>
      </c>
      <c r="D228" t="s">
        <v>14</v>
      </c>
      <c r="E228" t="s">
        <v>15</v>
      </c>
      <c r="F228" t="s">
        <v>25</v>
      </c>
      <c r="G228">
        <v>3250000</v>
      </c>
      <c r="H228">
        <v>3250000</v>
      </c>
      <c r="I228" t="s">
        <v>20</v>
      </c>
      <c r="J228" s="1">
        <v>45484</v>
      </c>
      <c r="K228">
        <v>8500000</v>
      </c>
      <c r="L228" t="s">
        <v>29</v>
      </c>
      <c r="M228">
        <v>0</v>
      </c>
      <c r="N228" t="s">
        <v>480</v>
      </c>
      <c r="O228">
        <v>2021</v>
      </c>
      <c r="P228" t="s">
        <v>494</v>
      </c>
    </row>
    <row r="229" spans="1:16" x14ac:dyDescent="0.3">
      <c r="A229" t="s">
        <v>270</v>
      </c>
      <c r="B229" s="1">
        <v>45415</v>
      </c>
      <c r="C229" t="s">
        <v>31</v>
      </c>
      <c r="D229" t="s">
        <v>14</v>
      </c>
      <c r="E229" t="s">
        <v>15</v>
      </c>
      <c r="F229" t="s">
        <v>51</v>
      </c>
      <c r="G229">
        <v>13400000</v>
      </c>
      <c r="H229">
        <v>13400000</v>
      </c>
      <c r="I229" t="s">
        <v>20</v>
      </c>
      <c r="J229" s="1">
        <v>46170</v>
      </c>
      <c r="K229">
        <v>7500000</v>
      </c>
      <c r="L229" t="s">
        <v>476</v>
      </c>
      <c r="M229">
        <v>0</v>
      </c>
      <c r="N229" t="s">
        <v>480</v>
      </c>
      <c r="O229">
        <v>2021</v>
      </c>
      <c r="P229" t="s">
        <v>494</v>
      </c>
    </row>
    <row r="230" spans="1:16" x14ac:dyDescent="0.3">
      <c r="A230" t="s">
        <v>271</v>
      </c>
      <c r="B230" s="1">
        <v>45366</v>
      </c>
      <c r="C230" t="s">
        <v>22</v>
      </c>
      <c r="D230" t="s">
        <v>23</v>
      </c>
      <c r="E230" t="s">
        <v>24</v>
      </c>
      <c r="F230" t="s">
        <v>16</v>
      </c>
      <c r="G230">
        <v>4300000</v>
      </c>
      <c r="H230">
        <v>4300000</v>
      </c>
      <c r="I230" t="s">
        <v>20</v>
      </c>
      <c r="J230" s="1">
        <v>45883</v>
      </c>
      <c r="K230">
        <v>8000000</v>
      </c>
      <c r="L230" t="s">
        <v>29</v>
      </c>
      <c r="M230">
        <v>0</v>
      </c>
      <c r="N230" t="s">
        <v>481</v>
      </c>
      <c r="O230">
        <v>2022</v>
      </c>
      <c r="P230" t="s">
        <v>494</v>
      </c>
    </row>
    <row r="231" spans="1:16" x14ac:dyDescent="0.3">
      <c r="A231" t="s">
        <v>272</v>
      </c>
      <c r="B231" s="1">
        <v>45352</v>
      </c>
      <c r="C231" t="s">
        <v>28</v>
      </c>
      <c r="D231" t="s">
        <v>44</v>
      </c>
      <c r="E231" t="s">
        <v>45</v>
      </c>
      <c r="F231" t="s">
        <v>33</v>
      </c>
      <c r="G231">
        <v>7450000</v>
      </c>
      <c r="H231">
        <v>1600000</v>
      </c>
      <c r="I231" t="s">
        <v>26</v>
      </c>
      <c r="J231" s="1">
        <v>45985</v>
      </c>
      <c r="K231">
        <v>7000000</v>
      </c>
      <c r="L231" t="s">
        <v>18</v>
      </c>
      <c r="M231">
        <v>759</v>
      </c>
      <c r="N231" t="s">
        <v>482</v>
      </c>
      <c r="O231">
        <v>2023</v>
      </c>
      <c r="P231" t="s">
        <v>495</v>
      </c>
    </row>
    <row r="232" spans="1:16" x14ac:dyDescent="0.3">
      <c r="A232" t="s">
        <v>273</v>
      </c>
      <c r="B232" s="1">
        <v>45584</v>
      </c>
      <c r="C232" t="s">
        <v>31</v>
      </c>
      <c r="D232" t="s">
        <v>23</v>
      </c>
      <c r="E232" t="s">
        <v>24</v>
      </c>
      <c r="F232" t="s">
        <v>33</v>
      </c>
      <c r="G232">
        <v>7150000</v>
      </c>
      <c r="H232">
        <v>7150000</v>
      </c>
      <c r="I232" t="s">
        <v>20</v>
      </c>
      <c r="J232" s="1">
        <v>46225</v>
      </c>
      <c r="K232">
        <v>7500000</v>
      </c>
      <c r="L232" t="s">
        <v>38</v>
      </c>
      <c r="M232">
        <v>0</v>
      </c>
      <c r="N232" t="s">
        <v>481</v>
      </c>
      <c r="O232">
        <v>2022</v>
      </c>
      <c r="P232" t="s">
        <v>494</v>
      </c>
    </row>
    <row r="233" spans="1:16" x14ac:dyDescent="0.3">
      <c r="A233" t="s">
        <v>274</v>
      </c>
      <c r="B233" s="1">
        <v>45344</v>
      </c>
      <c r="C233" t="s">
        <v>31</v>
      </c>
      <c r="D233" t="s">
        <v>14</v>
      </c>
      <c r="E233" t="s">
        <v>15</v>
      </c>
      <c r="F233" t="s">
        <v>51</v>
      </c>
      <c r="G233">
        <v>11350000</v>
      </c>
      <c r="H233">
        <v>11350000</v>
      </c>
      <c r="I233" t="s">
        <v>20</v>
      </c>
      <c r="J233" s="1">
        <v>45726</v>
      </c>
      <c r="K233">
        <v>7500000</v>
      </c>
      <c r="L233" t="s">
        <v>476</v>
      </c>
      <c r="M233">
        <v>0</v>
      </c>
      <c r="N233" t="s">
        <v>480</v>
      </c>
      <c r="O233">
        <v>2021</v>
      </c>
      <c r="P233" t="s">
        <v>494</v>
      </c>
    </row>
    <row r="234" spans="1:16" x14ac:dyDescent="0.3">
      <c r="A234" t="s">
        <v>275</v>
      </c>
      <c r="B234" s="1">
        <v>45438</v>
      </c>
      <c r="C234" t="s">
        <v>35</v>
      </c>
      <c r="D234" t="s">
        <v>14</v>
      </c>
      <c r="E234" t="s">
        <v>15</v>
      </c>
      <c r="F234" t="s">
        <v>51</v>
      </c>
      <c r="G234">
        <v>12300000</v>
      </c>
      <c r="H234">
        <v>12300000</v>
      </c>
      <c r="I234" t="s">
        <v>20</v>
      </c>
      <c r="J234" s="1">
        <v>45745</v>
      </c>
      <c r="K234">
        <v>9000000</v>
      </c>
      <c r="L234" t="s">
        <v>40</v>
      </c>
      <c r="M234">
        <v>0</v>
      </c>
      <c r="N234" t="s">
        <v>480</v>
      </c>
      <c r="O234">
        <v>2021</v>
      </c>
      <c r="P234" t="s">
        <v>494</v>
      </c>
    </row>
    <row r="235" spans="1:16" x14ac:dyDescent="0.3">
      <c r="A235" t="s">
        <v>276</v>
      </c>
      <c r="B235" s="1">
        <v>45370</v>
      </c>
      <c r="C235" t="s">
        <v>13</v>
      </c>
      <c r="D235" t="s">
        <v>44</v>
      </c>
      <c r="E235" t="s">
        <v>45</v>
      </c>
      <c r="F235" t="s">
        <v>16</v>
      </c>
      <c r="G235">
        <v>4850000</v>
      </c>
      <c r="H235">
        <v>0</v>
      </c>
      <c r="I235" t="s">
        <v>17</v>
      </c>
      <c r="J235" s="1">
        <v>46112</v>
      </c>
      <c r="K235">
        <v>8500000</v>
      </c>
      <c r="L235" t="s">
        <v>476</v>
      </c>
      <c r="M235">
        <v>0</v>
      </c>
      <c r="N235" t="s">
        <v>482</v>
      </c>
      <c r="O235">
        <v>2023</v>
      </c>
      <c r="P235" t="s">
        <v>476</v>
      </c>
    </row>
    <row r="236" spans="1:16" x14ac:dyDescent="0.3">
      <c r="A236" t="s">
        <v>277</v>
      </c>
      <c r="B236" s="1">
        <v>45643</v>
      </c>
      <c r="C236" t="s">
        <v>35</v>
      </c>
      <c r="D236" t="s">
        <v>23</v>
      </c>
      <c r="E236" t="s">
        <v>24</v>
      </c>
      <c r="F236" t="s">
        <v>25</v>
      </c>
      <c r="G236">
        <v>2900000</v>
      </c>
      <c r="H236">
        <v>2900000</v>
      </c>
      <c r="I236" t="s">
        <v>20</v>
      </c>
      <c r="J236" s="1">
        <v>46017</v>
      </c>
      <c r="K236">
        <v>9000000</v>
      </c>
      <c r="L236" t="s">
        <v>38</v>
      </c>
      <c r="M236">
        <v>0</v>
      </c>
      <c r="N236" t="s">
        <v>481</v>
      </c>
      <c r="O236">
        <v>2022</v>
      </c>
      <c r="P236" t="s">
        <v>494</v>
      </c>
    </row>
    <row r="237" spans="1:16" x14ac:dyDescent="0.3">
      <c r="A237" t="s">
        <v>278</v>
      </c>
      <c r="B237" s="1">
        <v>45437</v>
      </c>
      <c r="C237" t="s">
        <v>35</v>
      </c>
      <c r="D237" t="s">
        <v>44</v>
      </c>
      <c r="E237" t="s">
        <v>45</v>
      </c>
      <c r="F237" t="s">
        <v>33</v>
      </c>
      <c r="G237">
        <v>7150000</v>
      </c>
      <c r="H237">
        <v>7150000</v>
      </c>
      <c r="I237" t="s">
        <v>20</v>
      </c>
      <c r="J237" s="1">
        <v>45700</v>
      </c>
      <c r="K237">
        <v>9000000</v>
      </c>
      <c r="L237" t="s">
        <v>52</v>
      </c>
      <c r="M237">
        <v>0</v>
      </c>
      <c r="N237" t="s">
        <v>482</v>
      </c>
      <c r="O237">
        <v>2023</v>
      </c>
      <c r="P237" t="s">
        <v>494</v>
      </c>
    </row>
    <row r="238" spans="1:16" x14ac:dyDescent="0.3">
      <c r="A238" t="s">
        <v>279</v>
      </c>
      <c r="B238" s="1">
        <v>45631</v>
      </c>
      <c r="C238" t="s">
        <v>28</v>
      </c>
      <c r="D238" t="s">
        <v>14</v>
      </c>
      <c r="E238" t="s">
        <v>15</v>
      </c>
      <c r="F238" t="s">
        <v>33</v>
      </c>
      <c r="G238">
        <v>7800000</v>
      </c>
      <c r="H238">
        <v>7800000</v>
      </c>
      <c r="I238" t="s">
        <v>20</v>
      </c>
      <c r="J238" s="1">
        <v>46014</v>
      </c>
      <c r="K238">
        <v>7000000</v>
      </c>
      <c r="L238" t="s">
        <v>52</v>
      </c>
      <c r="M238">
        <v>0</v>
      </c>
      <c r="N238" t="s">
        <v>480</v>
      </c>
      <c r="O238">
        <v>2021</v>
      </c>
      <c r="P238" t="s">
        <v>494</v>
      </c>
    </row>
    <row r="239" spans="1:16" x14ac:dyDescent="0.3">
      <c r="A239" t="s">
        <v>280</v>
      </c>
      <c r="B239" s="1">
        <v>45638</v>
      </c>
      <c r="C239" t="s">
        <v>31</v>
      </c>
      <c r="D239" t="s">
        <v>44</v>
      </c>
      <c r="E239" t="s">
        <v>45</v>
      </c>
      <c r="F239" t="s">
        <v>16</v>
      </c>
      <c r="G239">
        <v>5600000</v>
      </c>
      <c r="H239">
        <v>0</v>
      </c>
      <c r="I239" t="s">
        <v>17</v>
      </c>
      <c r="J239" s="1">
        <v>46277</v>
      </c>
      <c r="K239">
        <v>7500000</v>
      </c>
      <c r="L239" t="s">
        <v>29</v>
      </c>
      <c r="M239">
        <v>0</v>
      </c>
      <c r="N239" t="s">
        <v>482</v>
      </c>
      <c r="O239">
        <v>2023</v>
      </c>
      <c r="P239" t="s">
        <v>476</v>
      </c>
    </row>
    <row r="240" spans="1:16" x14ac:dyDescent="0.3">
      <c r="A240" t="s">
        <v>281</v>
      </c>
      <c r="B240" s="1">
        <v>45420</v>
      </c>
      <c r="C240" t="s">
        <v>22</v>
      </c>
      <c r="D240" t="s">
        <v>23</v>
      </c>
      <c r="E240" t="s">
        <v>24</v>
      </c>
      <c r="F240" t="s">
        <v>33</v>
      </c>
      <c r="G240">
        <v>6950000</v>
      </c>
      <c r="H240">
        <v>0</v>
      </c>
      <c r="I240" t="s">
        <v>17</v>
      </c>
      <c r="J240" s="1">
        <v>46128</v>
      </c>
      <c r="K240">
        <v>8000000</v>
      </c>
      <c r="L240" t="s">
        <v>38</v>
      </c>
      <c r="M240">
        <v>0</v>
      </c>
      <c r="N240" t="s">
        <v>481</v>
      </c>
      <c r="O240">
        <v>2022</v>
      </c>
      <c r="P240" t="s">
        <v>476</v>
      </c>
    </row>
    <row r="241" spans="1:16" x14ac:dyDescent="0.3">
      <c r="A241" t="s">
        <v>282</v>
      </c>
      <c r="B241" s="1">
        <v>45383</v>
      </c>
      <c r="C241" t="s">
        <v>35</v>
      </c>
      <c r="D241" t="s">
        <v>14</v>
      </c>
      <c r="E241" t="s">
        <v>15</v>
      </c>
      <c r="F241" t="s">
        <v>16</v>
      </c>
      <c r="G241">
        <v>4100000</v>
      </c>
      <c r="H241">
        <v>4100000</v>
      </c>
      <c r="I241" t="s">
        <v>20</v>
      </c>
      <c r="J241" s="1">
        <v>46129</v>
      </c>
      <c r="K241">
        <v>9000000</v>
      </c>
      <c r="L241" t="s">
        <v>18</v>
      </c>
      <c r="M241">
        <v>0</v>
      </c>
      <c r="N241" t="s">
        <v>480</v>
      </c>
      <c r="O241">
        <v>2021</v>
      </c>
      <c r="P241" t="s">
        <v>494</v>
      </c>
    </row>
    <row r="242" spans="1:16" x14ac:dyDescent="0.3">
      <c r="A242" t="s">
        <v>283</v>
      </c>
      <c r="B242" s="1">
        <v>45306</v>
      </c>
      <c r="C242" t="s">
        <v>22</v>
      </c>
      <c r="D242" t="s">
        <v>23</v>
      </c>
      <c r="E242" t="s">
        <v>24</v>
      </c>
      <c r="F242" t="s">
        <v>16</v>
      </c>
      <c r="G242">
        <v>5200000</v>
      </c>
      <c r="H242">
        <v>5200000</v>
      </c>
      <c r="I242" t="s">
        <v>20</v>
      </c>
      <c r="J242" s="1">
        <v>45525</v>
      </c>
      <c r="K242">
        <v>8000000</v>
      </c>
      <c r="L242" t="s">
        <v>38</v>
      </c>
      <c r="M242">
        <v>0</v>
      </c>
      <c r="N242" t="s">
        <v>481</v>
      </c>
      <c r="O242">
        <v>2022</v>
      </c>
      <c r="P242" t="s">
        <v>494</v>
      </c>
    </row>
    <row r="243" spans="1:16" x14ac:dyDescent="0.3">
      <c r="A243" t="s">
        <v>284</v>
      </c>
      <c r="B243" s="1">
        <v>45645</v>
      </c>
      <c r="C243" t="s">
        <v>22</v>
      </c>
      <c r="D243" t="s">
        <v>44</v>
      </c>
      <c r="E243" t="s">
        <v>45</v>
      </c>
      <c r="F243" t="s">
        <v>16</v>
      </c>
      <c r="G243">
        <v>4450000</v>
      </c>
      <c r="H243">
        <v>1250000</v>
      </c>
      <c r="I243" t="s">
        <v>26</v>
      </c>
      <c r="J243" s="1">
        <v>46018</v>
      </c>
      <c r="K243">
        <v>8000000</v>
      </c>
      <c r="L243" t="s">
        <v>476</v>
      </c>
      <c r="M243">
        <v>466</v>
      </c>
      <c r="N243" t="s">
        <v>482</v>
      </c>
      <c r="O243">
        <v>2023</v>
      </c>
      <c r="P243" t="s">
        <v>495</v>
      </c>
    </row>
    <row r="244" spans="1:16" x14ac:dyDescent="0.3">
      <c r="A244" t="s">
        <v>285</v>
      </c>
      <c r="B244" s="1">
        <v>45329</v>
      </c>
      <c r="C244" t="s">
        <v>35</v>
      </c>
      <c r="D244" t="s">
        <v>23</v>
      </c>
      <c r="E244" t="s">
        <v>24</v>
      </c>
      <c r="F244" t="s">
        <v>16</v>
      </c>
      <c r="G244">
        <v>5550000</v>
      </c>
      <c r="H244">
        <v>5550000</v>
      </c>
      <c r="I244" t="s">
        <v>20</v>
      </c>
      <c r="J244" s="1">
        <v>46069</v>
      </c>
      <c r="K244">
        <v>9000000</v>
      </c>
      <c r="L244" t="s">
        <v>38</v>
      </c>
      <c r="M244">
        <v>0</v>
      </c>
      <c r="N244" t="s">
        <v>481</v>
      </c>
      <c r="O244">
        <v>2022</v>
      </c>
      <c r="P244" t="s">
        <v>494</v>
      </c>
    </row>
    <row r="245" spans="1:16" x14ac:dyDescent="0.3">
      <c r="A245" t="s">
        <v>286</v>
      </c>
      <c r="B245" s="1">
        <v>45646</v>
      </c>
      <c r="C245" t="s">
        <v>28</v>
      </c>
      <c r="D245" t="s">
        <v>14</v>
      </c>
      <c r="E245" t="s">
        <v>15</v>
      </c>
      <c r="F245" t="s">
        <v>33</v>
      </c>
      <c r="G245">
        <v>8350000</v>
      </c>
      <c r="H245">
        <v>8350000</v>
      </c>
      <c r="I245" t="s">
        <v>20</v>
      </c>
      <c r="J245" s="1">
        <v>46246</v>
      </c>
      <c r="K245">
        <v>7000000</v>
      </c>
      <c r="L245" t="s">
        <v>40</v>
      </c>
      <c r="M245">
        <v>0</v>
      </c>
      <c r="N245" t="s">
        <v>480</v>
      </c>
      <c r="O245">
        <v>2021</v>
      </c>
      <c r="P245" t="s">
        <v>494</v>
      </c>
    </row>
    <row r="246" spans="1:16" x14ac:dyDescent="0.3">
      <c r="A246" t="s">
        <v>287</v>
      </c>
      <c r="B246" s="1">
        <v>45341</v>
      </c>
      <c r="C246" t="s">
        <v>35</v>
      </c>
      <c r="D246" t="s">
        <v>44</v>
      </c>
      <c r="E246" t="s">
        <v>45</v>
      </c>
      <c r="F246" t="s">
        <v>25</v>
      </c>
      <c r="G246">
        <v>3100000</v>
      </c>
      <c r="H246">
        <v>850000</v>
      </c>
      <c r="I246" t="s">
        <v>26</v>
      </c>
      <c r="J246" s="1">
        <v>46207</v>
      </c>
      <c r="K246">
        <v>9000000</v>
      </c>
      <c r="L246" t="s">
        <v>38</v>
      </c>
      <c r="M246">
        <v>770</v>
      </c>
      <c r="N246" t="s">
        <v>482</v>
      </c>
      <c r="O246">
        <v>2023</v>
      </c>
      <c r="P246" t="s">
        <v>495</v>
      </c>
    </row>
    <row r="247" spans="1:16" x14ac:dyDescent="0.3">
      <c r="A247" t="s">
        <v>288</v>
      </c>
      <c r="B247" s="1">
        <v>45404</v>
      </c>
      <c r="C247" t="s">
        <v>35</v>
      </c>
      <c r="D247" t="s">
        <v>14</v>
      </c>
      <c r="E247" t="s">
        <v>15</v>
      </c>
      <c r="F247" t="s">
        <v>16</v>
      </c>
      <c r="G247">
        <v>5700000</v>
      </c>
      <c r="H247">
        <v>5700000</v>
      </c>
      <c r="I247" t="s">
        <v>20</v>
      </c>
      <c r="J247" s="1">
        <v>45907</v>
      </c>
      <c r="K247">
        <v>9000000</v>
      </c>
      <c r="L247" t="s">
        <v>476</v>
      </c>
      <c r="M247">
        <v>0</v>
      </c>
      <c r="N247" t="s">
        <v>480</v>
      </c>
      <c r="O247">
        <v>2021</v>
      </c>
      <c r="P247" t="s">
        <v>494</v>
      </c>
    </row>
    <row r="248" spans="1:16" x14ac:dyDescent="0.3">
      <c r="A248" t="s">
        <v>289</v>
      </c>
      <c r="B248" s="1">
        <v>45576</v>
      </c>
      <c r="C248" t="s">
        <v>31</v>
      </c>
      <c r="D248" t="s">
        <v>14</v>
      </c>
      <c r="E248" t="s">
        <v>15</v>
      </c>
      <c r="F248" t="s">
        <v>16</v>
      </c>
      <c r="G248">
        <v>4650000</v>
      </c>
      <c r="H248">
        <v>1350000</v>
      </c>
      <c r="I248" t="s">
        <v>26</v>
      </c>
      <c r="J248" s="1">
        <v>46123</v>
      </c>
      <c r="K248">
        <v>7500000</v>
      </c>
      <c r="L248" t="s">
        <v>42</v>
      </c>
      <c r="M248">
        <v>535</v>
      </c>
      <c r="N248" t="s">
        <v>480</v>
      </c>
      <c r="O248">
        <v>2021</v>
      </c>
      <c r="P248" t="s">
        <v>495</v>
      </c>
    </row>
    <row r="249" spans="1:16" x14ac:dyDescent="0.3">
      <c r="A249" t="s">
        <v>290</v>
      </c>
      <c r="B249" s="1">
        <v>45305</v>
      </c>
      <c r="C249" t="s">
        <v>22</v>
      </c>
      <c r="D249" t="s">
        <v>14</v>
      </c>
      <c r="E249" t="s">
        <v>15</v>
      </c>
      <c r="F249" t="s">
        <v>51</v>
      </c>
      <c r="G249">
        <v>11750000</v>
      </c>
      <c r="H249">
        <v>1300000</v>
      </c>
      <c r="I249" t="s">
        <v>26</v>
      </c>
      <c r="J249" s="1">
        <v>45664</v>
      </c>
      <c r="K249">
        <v>8000000</v>
      </c>
      <c r="L249" t="s">
        <v>476</v>
      </c>
      <c r="M249">
        <v>806</v>
      </c>
      <c r="N249" t="s">
        <v>480</v>
      </c>
      <c r="O249">
        <v>2021</v>
      </c>
      <c r="P249" t="s">
        <v>495</v>
      </c>
    </row>
    <row r="250" spans="1:16" x14ac:dyDescent="0.3">
      <c r="A250" t="s">
        <v>291</v>
      </c>
      <c r="B250" s="1">
        <v>45351</v>
      </c>
      <c r="C250" t="s">
        <v>13</v>
      </c>
      <c r="D250" t="s">
        <v>14</v>
      </c>
      <c r="E250" t="s">
        <v>15</v>
      </c>
      <c r="F250" t="s">
        <v>33</v>
      </c>
      <c r="G250">
        <v>8800000</v>
      </c>
      <c r="H250">
        <v>1950000</v>
      </c>
      <c r="I250" t="s">
        <v>26</v>
      </c>
      <c r="J250" s="1">
        <v>45723</v>
      </c>
      <c r="K250">
        <v>8500000</v>
      </c>
      <c r="L250" t="s">
        <v>476</v>
      </c>
      <c r="M250">
        <v>760</v>
      </c>
      <c r="N250" t="s">
        <v>480</v>
      </c>
      <c r="O250">
        <v>2021</v>
      </c>
      <c r="P250" t="s">
        <v>495</v>
      </c>
    </row>
    <row r="251" spans="1:16" x14ac:dyDescent="0.3">
      <c r="A251" t="s">
        <v>292</v>
      </c>
      <c r="B251" s="1">
        <v>45528</v>
      </c>
      <c r="C251" t="s">
        <v>22</v>
      </c>
      <c r="D251" t="s">
        <v>14</v>
      </c>
      <c r="E251" t="s">
        <v>15</v>
      </c>
      <c r="F251" t="s">
        <v>16</v>
      </c>
      <c r="G251">
        <v>5950000</v>
      </c>
      <c r="H251">
        <v>0</v>
      </c>
      <c r="I251" t="s">
        <v>17</v>
      </c>
      <c r="J251" s="1">
        <v>46006</v>
      </c>
      <c r="K251">
        <v>8000000</v>
      </c>
      <c r="L251" t="s">
        <v>476</v>
      </c>
      <c r="M251">
        <v>0</v>
      </c>
      <c r="N251" t="s">
        <v>480</v>
      </c>
      <c r="O251">
        <v>2021</v>
      </c>
      <c r="P251" t="s">
        <v>476</v>
      </c>
    </row>
    <row r="252" spans="1:16" x14ac:dyDescent="0.3">
      <c r="A252" t="s">
        <v>293</v>
      </c>
      <c r="B252" s="1">
        <v>45497</v>
      </c>
      <c r="C252" t="s">
        <v>28</v>
      </c>
      <c r="D252" t="s">
        <v>14</v>
      </c>
      <c r="E252" t="s">
        <v>15</v>
      </c>
      <c r="F252" t="s">
        <v>16</v>
      </c>
      <c r="G252">
        <v>5500000</v>
      </c>
      <c r="H252">
        <v>5500000</v>
      </c>
      <c r="I252" t="s">
        <v>20</v>
      </c>
      <c r="J252" s="1">
        <v>46162</v>
      </c>
      <c r="K252">
        <v>7000000</v>
      </c>
      <c r="L252" t="s">
        <v>476</v>
      </c>
      <c r="M252">
        <v>0</v>
      </c>
      <c r="N252" t="s">
        <v>480</v>
      </c>
      <c r="O252">
        <v>2021</v>
      </c>
      <c r="P252" t="s">
        <v>494</v>
      </c>
    </row>
    <row r="253" spans="1:16" x14ac:dyDescent="0.3">
      <c r="A253" t="s">
        <v>294</v>
      </c>
      <c r="B253" s="1">
        <v>45491</v>
      </c>
      <c r="C253" t="s">
        <v>13</v>
      </c>
      <c r="D253" t="s">
        <v>14</v>
      </c>
      <c r="E253" t="s">
        <v>15</v>
      </c>
      <c r="F253" t="s">
        <v>16</v>
      </c>
      <c r="G253">
        <v>4450000</v>
      </c>
      <c r="H253">
        <v>4450000</v>
      </c>
      <c r="I253" t="s">
        <v>20</v>
      </c>
      <c r="J253" s="1">
        <v>46117</v>
      </c>
      <c r="K253">
        <v>8500000</v>
      </c>
      <c r="L253" t="s">
        <v>476</v>
      </c>
      <c r="M253">
        <v>0</v>
      </c>
      <c r="N253" t="s">
        <v>480</v>
      </c>
      <c r="O253">
        <v>2021</v>
      </c>
      <c r="P253" t="s">
        <v>494</v>
      </c>
    </row>
    <row r="254" spans="1:16" x14ac:dyDescent="0.3">
      <c r="A254" t="s">
        <v>295</v>
      </c>
      <c r="B254" s="1">
        <v>45604</v>
      </c>
      <c r="C254" t="s">
        <v>13</v>
      </c>
      <c r="D254" t="s">
        <v>14</v>
      </c>
      <c r="E254" t="s">
        <v>15</v>
      </c>
      <c r="F254" t="s">
        <v>16</v>
      </c>
      <c r="G254">
        <v>5900000</v>
      </c>
      <c r="H254">
        <v>850000</v>
      </c>
      <c r="I254" t="s">
        <v>26</v>
      </c>
      <c r="J254" s="1">
        <v>46256</v>
      </c>
      <c r="K254">
        <v>8500000</v>
      </c>
      <c r="L254" t="s">
        <v>18</v>
      </c>
      <c r="M254">
        <v>507</v>
      </c>
      <c r="N254" t="s">
        <v>480</v>
      </c>
      <c r="O254">
        <v>2021</v>
      </c>
      <c r="P254" t="s">
        <v>495</v>
      </c>
    </row>
    <row r="255" spans="1:16" x14ac:dyDescent="0.3">
      <c r="A255" t="s">
        <v>296</v>
      </c>
      <c r="B255" s="1">
        <v>45593</v>
      </c>
      <c r="C255" t="s">
        <v>35</v>
      </c>
      <c r="D255" t="s">
        <v>44</v>
      </c>
      <c r="E255" t="s">
        <v>45</v>
      </c>
      <c r="F255" t="s">
        <v>33</v>
      </c>
      <c r="G255">
        <v>8300000</v>
      </c>
      <c r="H255">
        <v>8300000</v>
      </c>
      <c r="I255" t="s">
        <v>20</v>
      </c>
      <c r="J255" s="1">
        <v>46403</v>
      </c>
      <c r="K255">
        <v>9000000</v>
      </c>
      <c r="L255" t="s">
        <v>52</v>
      </c>
      <c r="M255">
        <v>0</v>
      </c>
      <c r="N255" t="s">
        <v>482</v>
      </c>
      <c r="O255">
        <v>2023</v>
      </c>
      <c r="P255" t="s">
        <v>494</v>
      </c>
    </row>
    <row r="256" spans="1:16" x14ac:dyDescent="0.3">
      <c r="A256" t="s">
        <v>297</v>
      </c>
      <c r="B256" s="1">
        <v>45627</v>
      </c>
      <c r="C256" t="s">
        <v>22</v>
      </c>
      <c r="D256" t="s">
        <v>23</v>
      </c>
      <c r="E256" t="s">
        <v>24</v>
      </c>
      <c r="F256" t="s">
        <v>16</v>
      </c>
      <c r="G256">
        <v>5600000</v>
      </c>
      <c r="H256">
        <v>1850000</v>
      </c>
      <c r="I256" t="s">
        <v>26</v>
      </c>
      <c r="J256" s="1">
        <v>46266</v>
      </c>
      <c r="K256">
        <v>8000000</v>
      </c>
      <c r="L256" t="s">
        <v>40</v>
      </c>
      <c r="M256">
        <v>484</v>
      </c>
      <c r="N256" t="s">
        <v>481</v>
      </c>
      <c r="O256">
        <v>2022</v>
      </c>
      <c r="P256" t="s">
        <v>495</v>
      </c>
    </row>
    <row r="257" spans="1:16" x14ac:dyDescent="0.3">
      <c r="A257" t="s">
        <v>298</v>
      </c>
      <c r="B257" s="1">
        <v>45640</v>
      </c>
      <c r="C257" t="s">
        <v>13</v>
      </c>
      <c r="D257" t="s">
        <v>23</v>
      </c>
      <c r="E257" t="s">
        <v>24</v>
      </c>
      <c r="F257" t="s">
        <v>16</v>
      </c>
      <c r="G257">
        <v>5250000</v>
      </c>
      <c r="H257">
        <v>1350000</v>
      </c>
      <c r="I257" t="s">
        <v>26</v>
      </c>
      <c r="J257" s="1">
        <v>46386</v>
      </c>
      <c r="K257">
        <v>8500000</v>
      </c>
      <c r="L257" t="s">
        <v>42</v>
      </c>
      <c r="M257">
        <v>471</v>
      </c>
      <c r="N257" t="s">
        <v>481</v>
      </c>
      <c r="O257">
        <v>2022</v>
      </c>
      <c r="P257" t="s">
        <v>495</v>
      </c>
    </row>
    <row r="258" spans="1:16" x14ac:dyDescent="0.3">
      <c r="A258" t="s">
        <v>299</v>
      </c>
      <c r="B258" s="1">
        <v>45624</v>
      </c>
      <c r="C258" t="s">
        <v>22</v>
      </c>
      <c r="D258" t="s">
        <v>44</v>
      </c>
      <c r="E258" t="s">
        <v>45</v>
      </c>
      <c r="F258" t="s">
        <v>25</v>
      </c>
      <c r="G258">
        <v>3300000</v>
      </c>
      <c r="H258">
        <v>3300000</v>
      </c>
      <c r="I258" t="s">
        <v>20</v>
      </c>
      <c r="J258" s="1">
        <v>46057</v>
      </c>
      <c r="K258">
        <v>8000000</v>
      </c>
      <c r="L258" t="s">
        <v>29</v>
      </c>
      <c r="M258">
        <v>0</v>
      </c>
      <c r="N258" t="s">
        <v>482</v>
      </c>
      <c r="O258">
        <v>2023</v>
      </c>
      <c r="P258" t="s">
        <v>494</v>
      </c>
    </row>
    <row r="259" spans="1:16" x14ac:dyDescent="0.3">
      <c r="A259" t="s">
        <v>300</v>
      </c>
      <c r="B259" s="1">
        <v>45608</v>
      </c>
      <c r="C259" t="s">
        <v>13</v>
      </c>
      <c r="D259" t="s">
        <v>23</v>
      </c>
      <c r="E259" t="s">
        <v>24</v>
      </c>
      <c r="F259" t="s">
        <v>25</v>
      </c>
      <c r="G259">
        <v>2950000</v>
      </c>
      <c r="H259">
        <v>2950000</v>
      </c>
      <c r="I259" t="s">
        <v>20</v>
      </c>
      <c r="J259" s="1">
        <v>46037</v>
      </c>
      <c r="K259">
        <v>8500000</v>
      </c>
      <c r="L259" t="s">
        <v>476</v>
      </c>
      <c r="M259">
        <v>0</v>
      </c>
      <c r="N259" t="s">
        <v>481</v>
      </c>
      <c r="O259">
        <v>2022</v>
      </c>
      <c r="P259" t="s">
        <v>494</v>
      </c>
    </row>
    <row r="260" spans="1:16" x14ac:dyDescent="0.3">
      <c r="A260" t="s">
        <v>301</v>
      </c>
      <c r="B260" s="1">
        <v>45342</v>
      </c>
      <c r="C260" t="s">
        <v>13</v>
      </c>
      <c r="D260" t="s">
        <v>14</v>
      </c>
      <c r="E260" t="s">
        <v>15</v>
      </c>
      <c r="F260" t="s">
        <v>16</v>
      </c>
      <c r="G260">
        <v>4950000</v>
      </c>
      <c r="H260">
        <v>4950000</v>
      </c>
      <c r="I260" t="s">
        <v>20</v>
      </c>
      <c r="J260" s="1">
        <v>45960</v>
      </c>
      <c r="K260">
        <v>8500000</v>
      </c>
      <c r="L260" t="s">
        <v>29</v>
      </c>
      <c r="M260">
        <v>0</v>
      </c>
      <c r="N260" t="s">
        <v>480</v>
      </c>
      <c r="O260">
        <v>2021</v>
      </c>
      <c r="P260" t="s">
        <v>494</v>
      </c>
    </row>
    <row r="261" spans="1:16" x14ac:dyDescent="0.3">
      <c r="A261" t="s">
        <v>302</v>
      </c>
      <c r="B261" s="1">
        <v>45397</v>
      </c>
      <c r="C261" t="s">
        <v>31</v>
      </c>
      <c r="D261" t="s">
        <v>44</v>
      </c>
      <c r="E261" t="s">
        <v>45</v>
      </c>
      <c r="F261" t="s">
        <v>16</v>
      </c>
      <c r="G261">
        <v>5100000</v>
      </c>
      <c r="H261">
        <v>5100000</v>
      </c>
      <c r="I261" t="s">
        <v>20</v>
      </c>
      <c r="J261" s="1">
        <v>46188</v>
      </c>
      <c r="K261">
        <v>7500000</v>
      </c>
      <c r="L261" t="s">
        <v>476</v>
      </c>
      <c r="M261">
        <v>0</v>
      </c>
      <c r="N261" t="s">
        <v>482</v>
      </c>
      <c r="O261">
        <v>2023</v>
      </c>
      <c r="P261" t="s">
        <v>494</v>
      </c>
    </row>
    <row r="262" spans="1:16" x14ac:dyDescent="0.3">
      <c r="A262" t="s">
        <v>303</v>
      </c>
      <c r="B262" s="1">
        <v>45578</v>
      </c>
      <c r="C262" t="s">
        <v>13</v>
      </c>
      <c r="D262" t="s">
        <v>14</v>
      </c>
      <c r="E262" t="s">
        <v>15</v>
      </c>
      <c r="F262" t="s">
        <v>51</v>
      </c>
      <c r="G262">
        <v>12900000</v>
      </c>
      <c r="H262">
        <v>0</v>
      </c>
      <c r="I262" t="s">
        <v>17</v>
      </c>
      <c r="J262" s="1">
        <v>45946</v>
      </c>
      <c r="K262">
        <v>8500000</v>
      </c>
      <c r="L262" t="s">
        <v>52</v>
      </c>
      <c r="M262">
        <v>0</v>
      </c>
      <c r="N262" t="s">
        <v>480</v>
      </c>
      <c r="O262">
        <v>2021</v>
      </c>
      <c r="P262" t="s">
        <v>476</v>
      </c>
    </row>
    <row r="263" spans="1:16" x14ac:dyDescent="0.3">
      <c r="A263" t="s">
        <v>304</v>
      </c>
      <c r="B263" s="1">
        <v>45468</v>
      </c>
      <c r="C263" t="s">
        <v>31</v>
      </c>
      <c r="D263" t="s">
        <v>23</v>
      </c>
      <c r="E263" t="s">
        <v>24</v>
      </c>
      <c r="F263" t="s">
        <v>33</v>
      </c>
      <c r="G263">
        <v>6850000</v>
      </c>
      <c r="H263">
        <v>6850000</v>
      </c>
      <c r="I263" t="s">
        <v>20</v>
      </c>
      <c r="J263" s="1">
        <v>46100</v>
      </c>
      <c r="K263">
        <v>7500000</v>
      </c>
      <c r="L263" t="s">
        <v>18</v>
      </c>
      <c r="M263">
        <v>0</v>
      </c>
      <c r="N263" t="s">
        <v>481</v>
      </c>
      <c r="O263">
        <v>2022</v>
      </c>
      <c r="P263" t="s">
        <v>494</v>
      </c>
    </row>
    <row r="264" spans="1:16" x14ac:dyDescent="0.3">
      <c r="A264" t="s">
        <v>305</v>
      </c>
      <c r="B264" s="1">
        <v>45583</v>
      </c>
      <c r="C264" t="s">
        <v>13</v>
      </c>
      <c r="D264" t="s">
        <v>14</v>
      </c>
      <c r="E264" t="s">
        <v>15</v>
      </c>
      <c r="F264" t="s">
        <v>51</v>
      </c>
      <c r="G264">
        <v>13450000</v>
      </c>
      <c r="H264">
        <v>13450000</v>
      </c>
      <c r="I264" t="s">
        <v>20</v>
      </c>
      <c r="J264" s="1">
        <v>45780</v>
      </c>
      <c r="K264">
        <v>8500000</v>
      </c>
      <c r="L264" t="s">
        <v>38</v>
      </c>
      <c r="M264">
        <v>0</v>
      </c>
      <c r="N264" t="s">
        <v>480</v>
      </c>
      <c r="O264">
        <v>2021</v>
      </c>
      <c r="P264" t="s">
        <v>494</v>
      </c>
    </row>
    <row r="265" spans="1:16" x14ac:dyDescent="0.3">
      <c r="A265" t="s">
        <v>306</v>
      </c>
      <c r="B265" s="1">
        <v>45413</v>
      </c>
      <c r="C265" t="s">
        <v>35</v>
      </c>
      <c r="D265" t="s">
        <v>44</v>
      </c>
      <c r="E265" t="s">
        <v>45</v>
      </c>
      <c r="F265" t="s">
        <v>33</v>
      </c>
      <c r="G265">
        <v>7450000</v>
      </c>
      <c r="H265">
        <v>1400000</v>
      </c>
      <c r="I265" t="s">
        <v>26</v>
      </c>
      <c r="J265" s="1">
        <v>45655</v>
      </c>
      <c r="K265">
        <v>9000000</v>
      </c>
      <c r="L265" t="s">
        <v>476</v>
      </c>
      <c r="M265">
        <v>698</v>
      </c>
      <c r="N265" t="s">
        <v>482</v>
      </c>
      <c r="O265">
        <v>2023</v>
      </c>
      <c r="P265" t="s">
        <v>495</v>
      </c>
    </row>
    <row r="266" spans="1:16" x14ac:dyDescent="0.3">
      <c r="A266" t="s">
        <v>307</v>
      </c>
      <c r="B266" s="1">
        <v>45351</v>
      </c>
      <c r="C266" t="s">
        <v>22</v>
      </c>
      <c r="D266" t="s">
        <v>14</v>
      </c>
      <c r="E266" t="s">
        <v>15</v>
      </c>
      <c r="F266" t="s">
        <v>16</v>
      </c>
      <c r="G266">
        <v>4950000</v>
      </c>
      <c r="H266">
        <v>4950000</v>
      </c>
      <c r="I266" t="s">
        <v>20</v>
      </c>
      <c r="J266" s="1">
        <v>46217</v>
      </c>
      <c r="K266">
        <v>8000000</v>
      </c>
      <c r="L266" t="s">
        <v>476</v>
      </c>
      <c r="M266">
        <v>0</v>
      </c>
      <c r="N266" t="s">
        <v>480</v>
      </c>
      <c r="O266">
        <v>2021</v>
      </c>
      <c r="P266" t="s">
        <v>494</v>
      </c>
    </row>
    <row r="267" spans="1:16" x14ac:dyDescent="0.3">
      <c r="A267" t="s">
        <v>308</v>
      </c>
      <c r="B267" s="1">
        <v>45568</v>
      </c>
      <c r="C267" t="s">
        <v>28</v>
      </c>
      <c r="D267" t="s">
        <v>44</v>
      </c>
      <c r="E267" t="s">
        <v>45</v>
      </c>
      <c r="F267" t="s">
        <v>16</v>
      </c>
      <c r="G267">
        <v>5000000</v>
      </c>
      <c r="H267">
        <v>5000000</v>
      </c>
      <c r="I267" t="s">
        <v>20</v>
      </c>
      <c r="J267" s="1">
        <v>45862</v>
      </c>
      <c r="K267">
        <v>7000000</v>
      </c>
      <c r="L267" t="s">
        <v>40</v>
      </c>
      <c r="M267">
        <v>0</v>
      </c>
      <c r="N267" t="s">
        <v>482</v>
      </c>
      <c r="O267">
        <v>2023</v>
      </c>
      <c r="P267" t="s">
        <v>494</v>
      </c>
    </row>
    <row r="268" spans="1:16" x14ac:dyDescent="0.3">
      <c r="A268" t="s">
        <v>310</v>
      </c>
      <c r="B268" s="1">
        <v>45622</v>
      </c>
      <c r="C268" t="s">
        <v>31</v>
      </c>
      <c r="D268" t="s">
        <v>14</v>
      </c>
      <c r="E268" t="s">
        <v>15</v>
      </c>
      <c r="F268" t="s">
        <v>16</v>
      </c>
      <c r="G268">
        <v>4400000</v>
      </c>
      <c r="H268">
        <v>4400000</v>
      </c>
      <c r="I268" t="s">
        <v>26</v>
      </c>
      <c r="J268" s="1">
        <v>46418</v>
      </c>
      <c r="K268">
        <v>7500000</v>
      </c>
      <c r="L268" t="s">
        <v>52</v>
      </c>
      <c r="M268">
        <v>489</v>
      </c>
      <c r="N268" t="s">
        <v>480</v>
      </c>
      <c r="O268">
        <v>2021</v>
      </c>
      <c r="P268" t="s">
        <v>494</v>
      </c>
    </row>
    <row r="269" spans="1:16" x14ac:dyDescent="0.3">
      <c r="A269" t="s">
        <v>311</v>
      </c>
      <c r="B269" s="1">
        <v>45582</v>
      </c>
      <c r="C269" t="s">
        <v>28</v>
      </c>
      <c r="D269" t="s">
        <v>14</v>
      </c>
      <c r="E269" t="s">
        <v>15</v>
      </c>
      <c r="F269" t="s">
        <v>51</v>
      </c>
      <c r="G269">
        <v>13650000</v>
      </c>
      <c r="H269">
        <v>2650000</v>
      </c>
      <c r="I269" t="s">
        <v>26</v>
      </c>
      <c r="J269" s="1">
        <v>46264</v>
      </c>
      <c r="K269">
        <v>7000000</v>
      </c>
      <c r="L269" t="s">
        <v>42</v>
      </c>
      <c r="M269">
        <v>529</v>
      </c>
      <c r="N269" t="s">
        <v>480</v>
      </c>
      <c r="O269">
        <v>2021</v>
      </c>
      <c r="P269" t="s">
        <v>495</v>
      </c>
    </row>
    <row r="270" spans="1:16" x14ac:dyDescent="0.3">
      <c r="A270" t="s">
        <v>312</v>
      </c>
      <c r="B270" s="1">
        <v>45550</v>
      </c>
      <c r="C270" t="s">
        <v>31</v>
      </c>
      <c r="D270" t="s">
        <v>23</v>
      </c>
      <c r="E270" t="s">
        <v>24</v>
      </c>
      <c r="F270" t="s">
        <v>25</v>
      </c>
      <c r="G270">
        <v>3100000</v>
      </c>
      <c r="H270">
        <v>350000</v>
      </c>
      <c r="I270" t="s">
        <v>26</v>
      </c>
      <c r="J270" s="1">
        <v>46408</v>
      </c>
      <c r="K270">
        <v>7500000</v>
      </c>
      <c r="L270" t="s">
        <v>52</v>
      </c>
      <c r="M270">
        <v>561</v>
      </c>
      <c r="N270" t="s">
        <v>481</v>
      </c>
      <c r="O270">
        <v>2022</v>
      </c>
      <c r="P270" t="s">
        <v>495</v>
      </c>
    </row>
    <row r="271" spans="1:16" x14ac:dyDescent="0.3">
      <c r="A271" t="s">
        <v>313</v>
      </c>
      <c r="B271" s="1">
        <v>45596</v>
      </c>
      <c r="C271" t="s">
        <v>22</v>
      </c>
      <c r="D271" t="s">
        <v>14</v>
      </c>
      <c r="E271" t="s">
        <v>15</v>
      </c>
      <c r="F271" t="s">
        <v>16</v>
      </c>
      <c r="G271">
        <v>4250000</v>
      </c>
      <c r="H271">
        <v>750000</v>
      </c>
      <c r="I271" t="s">
        <v>26</v>
      </c>
      <c r="J271" s="1">
        <v>46384</v>
      </c>
      <c r="K271">
        <v>8000000</v>
      </c>
      <c r="L271" t="s">
        <v>42</v>
      </c>
      <c r="M271">
        <v>515</v>
      </c>
      <c r="N271" t="s">
        <v>480</v>
      </c>
      <c r="O271">
        <v>2021</v>
      </c>
      <c r="P271" t="s">
        <v>495</v>
      </c>
    </row>
    <row r="272" spans="1:16" x14ac:dyDescent="0.3">
      <c r="A272" t="s">
        <v>314</v>
      </c>
      <c r="B272" s="1">
        <v>45503</v>
      </c>
      <c r="C272" t="s">
        <v>35</v>
      </c>
      <c r="D272" t="s">
        <v>14</v>
      </c>
      <c r="E272" t="s">
        <v>15</v>
      </c>
      <c r="F272" t="s">
        <v>33</v>
      </c>
      <c r="G272">
        <v>7100000</v>
      </c>
      <c r="H272">
        <v>7100000</v>
      </c>
      <c r="I272" t="s">
        <v>20</v>
      </c>
      <c r="J272" s="1">
        <v>46246</v>
      </c>
      <c r="K272">
        <v>9000000</v>
      </c>
      <c r="L272" t="s">
        <v>52</v>
      </c>
      <c r="M272">
        <v>0</v>
      </c>
      <c r="N272" t="s">
        <v>480</v>
      </c>
      <c r="O272">
        <v>2021</v>
      </c>
      <c r="P272" t="s">
        <v>494</v>
      </c>
    </row>
    <row r="273" spans="1:16" x14ac:dyDescent="0.3">
      <c r="A273" t="s">
        <v>315</v>
      </c>
      <c r="B273" s="1">
        <v>45553</v>
      </c>
      <c r="C273" t="s">
        <v>13</v>
      </c>
      <c r="D273" t="s">
        <v>44</v>
      </c>
      <c r="E273" t="s">
        <v>45</v>
      </c>
      <c r="F273" t="s">
        <v>16</v>
      </c>
      <c r="G273">
        <v>5400000</v>
      </c>
      <c r="H273">
        <v>5400000</v>
      </c>
      <c r="I273" t="s">
        <v>20</v>
      </c>
      <c r="J273" s="1">
        <v>46023</v>
      </c>
      <c r="K273">
        <v>8500000</v>
      </c>
      <c r="L273" t="s">
        <v>476</v>
      </c>
      <c r="M273">
        <v>0</v>
      </c>
      <c r="N273" t="s">
        <v>482</v>
      </c>
      <c r="O273">
        <v>2023</v>
      </c>
      <c r="P273" t="s">
        <v>494</v>
      </c>
    </row>
    <row r="274" spans="1:16" x14ac:dyDescent="0.3">
      <c r="A274" t="s">
        <v>316</v>
      </c>
      <c r="B274" s="1">
        <v>45576</v>
      </c>
      <c r="C274" t="s">
        <v>35</v>
      </c>
      <c r="D274" t="s">
        <v>23</v>
      </c>
      <c r="E274" t="s">
        <v>24</v>
      </c>
      <c r="F274" t="s">
        <v>33</v>
      </c>
      <c r="G274">
        <v>7450000</v>
      </c>
      <c r="H274">
        <v>2650000</v>
      </c>
      <c r="I274" t="s">
        <v>26</v>
      </c>
      <c r="J274" s="1">
        <v>46392</v>
      </c>
      <c r="K274">
        <v>9000000</v>
      </c>
      <c r="L274" t="s">
        <v>476</v>
      </c>
      <c r="M274">
        <v>535</v>
      </c>
      <c r="N274" t="s">
        <v>481</v>
      </c>
      <c r="O274">
        <v>2022</v>
      </c>
      <c r="P274" t="s">
        <v>495</v>
      </c>
    </row>
    <row r="275" spans="1:16" x14ac:dyDescent="0.3">
      <c r="A275" t="s">
        <v>317</v>
      </c>
      <c r="B275" s="1">
        <v>45656</v>
      </c>
      <c r="C275" t="s">
        <v>13</v>
      </c>
      <c r="D275" t="s">
        <v>14</v>
      </c>
      <c r="E275" t="s">
        <v>15</v>
      </c>
      <c r="F275" t="s">
        <v>16</v>
      </c>
      <c r="G275">
        <v>5300000</v>
      </c>
      <c r="H275">
        <v>5300000</v>
      </c>
      <c r="I275" t="s">
        <v>20</v>
      </c>
      <c r="J275" s="1">
        <v>45903</v>
      </c>
      <c r="K275">
        <v>8500000</v>
      </c>
      <c r="L275" t="s">
        <v>52</v>
      </c>
      <c r="M275">
        <v>0</v>
      </c>
      <c r="N275" t="s">
        <v>480</v>
      </c>
      <c r="O275">
        <v>2021</v>
      </c>
      <c r="P275" t="s">
        <v>494</v>
      </c>
    </row>
    <row r="276" spans="1:16" x14ac:dyDescent="0.3">
      <c r="A276" t="s">
        <v>318</v>
      </c>
      <c r="B276" s="1">
        <v>45517</v>
      </c>
      <c r="C276" t="s">
        <v>35</v>
      </c>
      <c r="D276" t="s">
        <v>44</v>
      </c>
      <c r="E276" t="s">
        <v>45</v>
      </c>
      <c r="F276" t="s">
        <v>33</v>
      </c>
      <c r="G276">
        <v>7150000</v>
      </c>
      <c r="H276">
        <v>2050000</v>
      </c>
      <c r="I276" t="s">
        <v>26</v>
      </c>
      <c r="J276" s="1">
        <v>46150</v>
      </c>
      <c r="K276">
        <v>9000000</v>
      </c>
      <c r="L276" t="s">
        <v>29</v>
      </c>
      <c r="M276">
        <v>594</v>
      </c>
      <c r="N276" t="s">
        <v>482</v>
      </c>
      <c r="O276">
        <v>2023</v>
      </c>
      <c r="P276" t="s">
        <v>495</v>
      </c>
    </row>
    <row r="277" spans="1:16" x14ac:dyDescent="0.3">
      <c r="A277" t="s">
        <v>319</v>
      </c>
      <c r="B277" s="1">
        <v>45320</v>
      </c>
      <c r="C277" t="s">
        <v>13</v>
      </c>
      <c r="D277" t="s">
        <v>23</v>
      </c>
      <c r="E277" t="s">
        <v>24</v>
      </c>
      <c r="F277" t="s">
        <v>16</v>
      </c>
      <c r="G277">
        <v>5200000</v>
      </c>
      <c r="H277">
        <v>5200000</v>
      </c>
      <c r="I277" t="s">
        <v>20</v>
      </c>
      <c r="J277" s="1">
        <v>46072</v>
      </c>
      <c r="K277">
        <v>8500000</v>
      </c>
      <c r="L277" t="s">
        <v>476</v>
      </c>
      <c r="M277">
        <v>0</v>
      </c>
      <c r="N277" t="s">
        <v>481</v>
      </c>
      <c r="O277">
        <v>2022</v>
      </c>
      <c r="P277" t="s">
        <v>494</v>
      </c>
    </row>
    <row r="278" spans="1:16" x14ac:dyDescent="0.3">
      <c r="A278" t="s">
        <v>320</v>
      </c>
      <c r="B278" s="1">
        <v>45295</v>
      </c>
      <c r="C278" t="s">
        <v>31</v>
      </c>
      <c r="D278" t="s">
        <v>23</v>
      </c>
      <c r="E278" t="s">
        <v>24</v>
      </c>
      <c r="F278" t="s">
        <v>16</v>
      </c>
      <c r="G278">
        <v>4350000</v>
      </c>
      <c r="H278">
        <v>4350000</v>
      </c>
      <c r="I278" t="s">
        <v>20</v>
      </c>
      <c r="J278" s="1">
        <v>45819</v>
      </c>
      <c r="K278">
        <v>7500000</v>
      </c>
      <c r="L278" t="s">
        <v>38</v>
      </c>
      <c r="M278">
        <v>0</v>
      </c>
      <c r="N278" t="s">
        <v>481</v>
      </c>
      <c r="O278">
        <v>2022</v>
      </c>
      <c r="P278" t="s">
        <v>494</v>
      </c>
    </row>
    <row r="279" spans="1:16" x14ac:dyDescent="0.3">
      <c r="A279" t="s">
        <v>321</v>
      </c>
      <c r="B279" s="1">
        <v>45551</v>
      </c>
      <c r="C279" t="s">
        <v>35</v>
      </c>
      <c r="D279" t="s">
        <v>23</v>
      </c>
      <c r="E279" t="s">
        <v>24</v>
      </c>
      <c r="F279" t="s">
        <v>16</v>
      </c>
      <c r="G279">
        <v>5450000</v>
      </c>
      <c r="H279">
        <v>5450000</v>
      </c>
      <c r="I279" t="s">
        <v>20</v>
      </c>
      <c r="J279" s="1">
        <v>46298</v>
      </c>
      <c r="K279">
        <v>9000000</v>
      </c>
      <c r="L279" t="s">
        <v>52</v>
      </c>
      <c r="M279">
        <v>0</v>
      </c>
      <c r="N279" t="s">
        <v>481</v>
      </c>
      <c r="O279">
        <v>2022</v>
      </c>
      <c r="P279" t="s">
        <v>494</v>
      </c>
    </row>
    <row r="280" spans="1:16" x14ac:dyDescent="0.3">
      <c r="A280" t="s">
        <v>322</v>
      </c>
      <c r="B280" s="1">
        <v>45472</v>
      </c>
      <c r="C280" t="s">
        <v>13</v>
      </c>
      <c r="D280" t="s">
        <v>23</v>
      </c>
      <c r="E280" t="s">
        <v>24</v>
      </c>
      <c r="F280" t="s">
        <v>33</v>
      </c>
      <c r="G280">
        <v>9000000</v>
      </c>
      <c r="H280">
        <v>9000000</v>
      </c>
      <c r="I280" t="s">
        <v>20</v>
      </c>
      <c r="J280" s="1">
        <v>46340</v>
      </c>
      <c r="K280">
        <v>8500000</v>
      </c>
      <c r="L280" t="s">
        <v>52</v>
      </c>
      <c r="M280">
        <v>0</v>
      </c>
      <c r="N280" t="s">
        <v>481</v>
      </c>
      <c r="O280">
        <v>2022</v>
      </c>
      <c r="P280" t="s">
        <v>494</v>
      </c>
    </row>
    <row r="281" spans="1:16" x14ac:dyDescent="0.3">
      <c r="A281" t="s">
        <v>323</v>
      </c>
      <c r="B281" s="1">
        <v>45493</v>
      </c>
      <c r="C281" t="s">
        <v>28</v>
      </c>
      <c r="D281" t="s">
        <v>14</v>
      </c>
      <c r="E281" t="s">
        <v>15</v>
      </c>
      <c r="F281" t="s">
        <v>51</v>
      </c>
      <c r="G281">
        <v>9550000</v>
      </c>
      <c r="H281">
        <v>9550000</v>
      </c>
      <c r="I281" t="s">
        <v>26</v>
      </c>
      <c r="J281" s="1">
        <v>45978</v>
      </c>
      <c r="K281">
        <v>7000000</v>
      </c>
      <c r="L281" t="s">
        <v>476</v>
      </c>
      <c r="M281">
        <v>618</v>
      </c>
      <c r="N281" t="s">
        <v>480</v>
      </c>
      <c r="O281">
        <v>2021</v>
      </c>
      <c r="P281" t="s">
        <v>494</v>
      </c>
    </row>
    <row r="282" spans="1:16" x14ac:dyDescent="0.3">
      <c r="A282" t="s">
        <v>324</v>
      </c>
      <c r="B282" s="1">
        <v>45465</v>
      </c>
      <c r="C282" t="s">
        <v>35</v>
      </c>
      <c r="D282" t="s">
        <v>14</v>
      </c>
      <c r="E282" t="s">
        <v>15</v>
      </c>
      <c r="F282" t="s">
        <v>33</v>
      </c>
      <c r="G282">
        <v>8200000</v>
      </c>
      <c r="H282">
        <v>8200000</v>
      </c>
      <c r="I282" t="s">
        <v>20</v>
      </c>
      <c r="J282" s="1">
        <v>45790</v>
      </c>
      <c r="K282">
        <v>9000000</v>
      </c>
      <c r="L282" t="s">
        <v>42</v>
      </c>
      <c r="M282">
        <v>0</v>
      </c>
      <c r="N282" t="s">
        <v>480</v>
      </c>
      <c r="O282">
        <v>2021</v>
      </c>
      <c r="P282" t="s">
        <v>494</v>
      </c>
    </row>
    <row r="283" spans="1:16" x14ac:dyDescent="0.3">
      <c r="A283" t="s">
        <v>325</v>
      </c>
      <c r="B283" s="1">
        <v>45645</v>
      </c>
      <c r="C283" t="s">
        <v>31</v>
      </c>
      <c r="D283" t="s">
        <v>23</v>
      </c>
      <c r="E283" t="s">
        <v>24</v>
      </c>
      <c r="F283" t="s">
        <v>51</v>
      </c>
      <c r="G283">
        <v>10000000</v>
      </c>
      <c r="H283">
        <v>0</v>
      </c>
      <c r="I283" t="s">
        <v>17</v>
      </c>
      <c r="J283" s="1">
        <v>45966</v>
      </c>
      <c r="K283">
        <v>7500000</v>
      </c>
      <c r="L283" t="s">
        <v>476</v>
      </c>
      <c r="M283">
        <v>0</v>
      </c>
      <c r="N283" t="s">
        <v>481</v>
      </c>
      <c r="O283">
        <v>2022</v>
      </c>
      <c r="P283" t="s">
        <v>476</v>
      </c>
    </row>
    <row r="284" spans="1:16" x14ac:dyDescent="0.3">
      <c r="A284" t="s">
        <v>326</v>
      </c>
      <c r="B284" s="1">
        <v>45368</v>
      </c>
      <c r="C284" t="s">
        <v>13</v>
      </c>
      <c r="D284" t="s">
        <v>23</v>
      </c>
      <c r="E284" t="s">
        <v>24</v>
      </c>
      <c r="F284" t="s">
        <v>16</v>
      </c>
      <c r="G284">
        <v>5150000</v>
      </c>
      <c r="H284">
        <v>1100000</v>
      </c>
      <c r="I284" t="s">
        <v>26</v>
      </c>
      <c r="J284" s="1">
        <v>45877</v>
      </c>
      <c r="K284">
        <v>8500000</v>
      </c>
      <c r="L284" t="s">
        <v>29</v>
      </c>
      <c r="M284">
        <v>743</v>
      </c>
      <c r="N284" t="s">
        <v>481</v>
      </c>
      <c r="O284">
        <v>2022</v>
      </c>
      <c r="P284" t="s">
        <v>495</v>
      </c>
    </row>
    <row r="285" spans="1:16" x14ac:dyDescent="0.3">
      <c r="A285" t="s">
        <v>327</v>
      </c>
      <c r="B285" s="1">
        <v>45485</v>
      </c>
      <c r="C285" t="s">
        <v>28</v>
      </c>
      <c r="D285" t="s">
        <v>14</v>
      </c>
      <c r="E285" t="s">
        <v>15</v>
      </c>
      <c r="F285" t="s">
        <v>33</v>
      </c>
      <c r="G285">
        <v>7200000</v>
      </c>
      <c r="H285">
        <v>7200000</v>
      </c>
      <c r="I285" t="s">
        <v>20</v>
      </c>
      <c r="J285" s="1">
        <v>46176</v>
      </c>
      <c r="K285">
        <v>7000000</v>
      </c>
      <c r="L285" t="s">
        <v>476</v>
      </c>
      <c r="M285">
        <v>0</v>
      </c>
      <c r="N285" t="s">
        <v>480</v>
      </c>
      <c r="O285">
        <v>2021</v>
      </c>
      <c r="P285" t="s">
        <v>494</v>
      </c>
    </row>
    <row r="286" spans="1:16" x14ac:dyDescent="0.3">
      <c r="A286" t="s">
        <v>328</v>
      </c>
      <c r="B286" s="1">
        <v>45480</v>
      </c>
      <c r="C286" t="s">
        <v>35</v>
      </c>
      <c r="D286" t="s">
        <v>23</v>
      </c>
      <c r="E286" t="s">
        <v>24</v>
      </c>
      <c r="F286" t="s">
        <v>33</v>
      </c>
      <c r="G286">
        <v>7800000</v>
      </c>
      <c r="H286">
        <v>0</v>
      </c>
      <c r="I286" t="s">
        <v>17</v>
      </c>
      <c r="J286" s="1">
        <v>46364</v>
      </c>
      <c r="K286">
        <v>9000000</v>
      </c>
      <c r="L286" t="s">
        <v>42</v>
      </c>
      <c r="M286">
        <v>0</v>
      </c>
      <c r="N286" t="s">
        <v>481</v>
      </c>
      <c r="O286">
        <v>2022</v>
      </c>
      <c r="P286" t="s">
        <v>476</v>
      </c>
    </row>
    <row r="287" spans="1:16" x14ac:dyDescent="0.3">
      <c r="A287" t="s">
        <v>329</v>
      </c>
      <c r="B287" s="1">
        <v>45339</v>
      </c>
      <c r="C287" t="s">
        <v>13</v>
      </c>
      <c r="D287" t="s">
        <v>14</v>
      </c>
      <c r="E287" t="s">
        <v>15</v>
      </c>
      <c r="F287" t="s">
        <v>16</v>
      </c>
      <c r="G287">
        <v>4650000</v>
      </c>
      <c r="H287">
        <v>4650000</v>
      </c>
      <c r="I287" t="s">
        <v>20</v>
      </c>
      <c r="J287" s="1">
        <v>45738</v>
      </c>
      <c r="K287">
        <v>8500000</v>
      </c>
      <c r="L287" t="s">
        <v>40</v>
      </c>
      <c r="M287">
        <v>0</v>
      </c>
      <c r="N287" t="s">
        <v>480</v>
      </c>
      <c r="O287">
        <v>2021</v>
      </c>
      <c r="P287" t="s">
        <v>494</v>
      </c>
    </row>
    <row r="288" spans="1:16" x14ac:dyDescent="0.3">
      <c r="A288" t="s">
        <v>330</v>
      </c>
      <c r="B288" s="1">
        <v>45619</v>
      </c>
      <c r="C288" t="s">
        <v>28</v>
      </c>
      <c r="D288" t="s">
        <v>14</v>
      </c>
      <c r="E288" t="s">
        <v>15</v>
      </c>
      <c r="F288" t="s">
        <v>51</v>
      </c>
      <c r="G288">
        <v>13700000</v>
      </c>
      <c r="H288">
        <v>3550000</v>
      </c>
      <c r="I288" t="s">
        <v>26</v>
      </c>
      <c r="J288" s="1">
        <v>46446</v>
      </c>
      <c r="K288">
        <v>7000000</v>
      </c>
      <c r="L288" t="s">
        <v>476</v>
      </c>
      <c r="M288">
        <v>492</v>
      </c>
      <c r="N288" t="s">
        <v>480</v>
      </c>
      <c r="O288">
        <v>2021</v>
      </c>
      <c r="P288" t="s">
        <v>495</v>
      </c>
    </row>
    <row r="289" spans="1:16" x14ac:dyDescent="0.3">
      <c r="A289" t="s">
        <v>331</v>
      </c>
      <c r="B289" s="1">
        <v>45513</v>
      </c>
      <c r="C289" t="s">
        <v>28</v>
      </c>
      <c r="D289" t="s">
        <v>14</v>
      </c>
      <c r="E289" t="s">
        <v>15</v>
      </c>
      <c r="F289" t="s">
        <v>51</v>
      </c>
      <c r="G289">
        <v>10550000</v>
      </c>
      <c r="H289">
        <v>1550000</v>
      </c>
      <c r="I289" t="s">
        <v>26</v>
      </c>
      <c r="J289" s="1">
        <v>45861</v>
      </c>
      <c r="K289">
        <v>7000000</v>
      </c>
      <c r="L289" t="s">
        <v>52</v>
      </c>
      <c r="M289">
        <v>598</v>
      </c>
      <c r="N289" t="s">
        <v>480</v>
      </c>
      <c r="O289">
        <v>2021</v>
      </c>
      <c r="P289" t="s">
        <v>495</v>
      </c>
    </row>
    <row r="290" spans="1:16" x14ac:dyDescent="0.3">
      <c r="A290" t="s">
        <v>332</v>
      </c>
      <c r="B290" s="1">
        <v>45540</v>
      </c>
      <c r="C290" t="s">
        <v>31</v>
      </c>
      <c r="D290" t="s">
        <v>23</v>
      </c>
      <c r="E290" t="s">
        <v>24</v>
      </c>
      <c r="F290" t="s">
        <v>33</v>
      </c>
      <c r="G290">
        <v>8600000</v>
      </c>
      <c r="H290">
        <v>0</v>
      </c>
      <c r="I290" t="s">
        <v>17</v>
      </c>
      <c r="J290" s="1">
        <v>46226</v>
      </c>
      <c r="K290">
        <v>7500000</v>
      </c>
      <c r="L290" t="s">
        <v>476</v>
      </c>
      <c r="M290">
        <v>0</v>
      </c>
      <c r="N290" t="s">
        <v>481</v>
      </c>
      <c r="O290">
        <v>2022</v>
      </c>
      <c r="P290" t="s">
        <v>476</v>
      </c>
    </row>
    <row r="291" spans="1:16" x14ac:dyDescent="0.3">
      <c r="A291" t="s">
        <v>333</v>
      </c>
      <c r="B291" s="1">
        <v>45458</v>
      </c>
      <c r="C291" t="s">
        <v>28</v>
      </c>
      <c r="D291" t="s">
        <v>14</v>
      </c>
      <c r="E291" t="s">
        <v>15</v>
      </c>
      <c r="F291" t="s">
        <v>16</v>
      </c>
      <c r="G291">
        <v>4350000</v>
      </c>
      <c r="H291">
        <v>500000</v>
      </c>
      <c r="I291" t="s">
        <v>26</v>
      </c>
      <c r="J291" s="1">
        <v>45721</v>
      </c>
      <c r="K291">
        <v>7000000</v>
      </c>
      <c r="L291" t="s">
        <v>18</v>
      </c>
      <c r="M291">
        <v>653</v>
      </c>
      <c r="N291" t="s">
        <v>480</v>
      </c>
      <c r="O291">
        <v>2021</v>
      </c>
      <c r="P291" t="s">
        <v>495</v>
      </c>
    </row>
    <row r="292" spans="1:16" x14ac:dyDescent="0.3">
      <c r="A292" t="s">
        <v>334</v>
      </c>
      <c r="B292" s="1">
        <v>45638</v>
      </c>
      <c r="C292" t="s">
        <v>13</v>
      </c>
      <c r="D292" t="s">
        <v>44</v>
      </c>
      <c r="E292" t="s">
        <v>45</v>
      </c>
      <c r="F292" t="s">
        <v>16</v>
      </c>
      <c r="G292">
        <v>4200000</v>
      </c>
      <c r="H292">
        <v>450000</v>
      </c>
      <c r="I292" t="s">
        <v>26</v>
      </c>
      <c r="J292" s="1">
        <v>46367</v>
      </c>
      <c r="K292">
        <v>8500000</v>
      </c>
      <c r="L292" t="s">
        <v>38</v>
      </c>
      <c r="M292">
        <v>473</v>
      </c>
      <c r="N292" t="s">
        <v>482</v>
      </c>
      <c r="O292">
        <v>2023</v>
      </c>
      <c r="P292" t="s">
        <v>495</v>
      </c>
    </row>
    <row r="293" spans="1:16" x14ac:dyDescent="0.3">
      <c r="A293" t="s">
        <v>335</v>
      </c>
      <c r="B293" s="1">
        <v>45343</v>
      </c>
      <c r="C293" t="s">
        <v>13</v>
      </c>
      <c r="D293" t="s">
        <v>23</v>
      </c>
      <c r="E293" t="s">
        <v>24</v>
      </c>
      <c r="F293" t="s">
        <v>25</v>
      </c>
      <c r="G293">
        <v>3250000</v>
      </c>
      <c r="H293">
        <v>3250000</v>
      </c>
      <c r="I293" t="s">
        <v>20</v>
      </c>
      <c r="J293" s="1">
        <v>45942</v>
      </c>
      <c r="K293">
        <v>8500000</v>
      </c>
      <c r="L293" t="s">
        <v>52</v>
      </c>
      <c r="M293">
        <v>0</v>
      </c>
      <c r="N293" t="s">
        <v>481</v>
      </c>
      <c r="O293">
        <v>2022</v>
      </c>
      <c r="P293" t="s">
        <v>494</v>
      </c>
    </row>
    <row r="294" spans="1:16" x14ac:dyDescent="0.3">
      <c r="A294" t="s">
        <v>336</v>
      </c>
      <c r="B294" s="1">
        <v>45453</v>
      </c>
      <c r="C294" t="s">
        <v>22</v>
      </c>
      <c r="D294" t="s">
        <v>44</v>
      </c>
      <c r="E294" t="s">
        <v>45</v>
      </c>
      <c r="F294" t="s">
        <v>16</v>
      </c>
      <c r="G294">
        <v>5600000</v>
      </c>
      <c r="H294">
        <v>0</v>
      </c>
      <c r="I294" t="s">
        <v>17</v>
      </c>
      <c r="J294" s="1">
        <v>46040</v>
      </c>
      <c r="K294">
        <v>8000000</v>
      </c>
      <c r="L294" t="s">
        <v>38</v>
      </c>
      <c r="M294">
        <v>0</v>
      </c>
      <c r="N294" t="s">
        <v>482</v>
      </c>
      <c r="O294">
        <v>2023</v>
      </c>
      <c r="P294" t="s">
        <v>476</v>
      </c>
    </row>
    <row r="295" spans="1:16" x14ac:dyDescent="0.3">
      <c r="A295" t="s">
        <v>337</v>
      </c>
      <c r="B295" s="1">
        <v>45366</v>
      </c>
      <c r="C295" t="s">
        <v>35</v>
      </c>
      <c r="D295" t="s">
        <v>44</v>
      </c>
      <c r="E295" t="s">
        <v>45</v>
      </c>
      <c r="F295" t="s">
        <v>16</v>
      </c>
      <c r="G295">
        <v>5050000</v>
      </c>
      <c r="H295">
        <v>5050000</v>
      </c>
      <c r="I295" t="s">
        <v>20</v>
      </c>
      <c r="J295" s="1">
        <v>46137</v>
      </c>
      <c r="K295">
        <v>9000000</v>
      </c>
      <c r="L295" t="s">
        <v>18</v>
      </c>
      <c r="M295">
        <v>0</v>
      </c>
      <c r="N295" t="s">
        <v>482</v>
      </c>
      <c r="O295">
        <v>2023</v>
      </c>
      <c r="P295" t="s">
        <v>494</v>
      </c>
    </row>
    <row r="296" spans="1:16" x14ac:dyDescent="0.3">
      <c r="A296" t="s">
        <v>338</v>
      </c>
      <c r="B296" s="1">
        <v>45306</v>
      </c>
      <c r="C296" t="s">
        <v>13</v>
      </c>
      <c r="D296" t="s">
        <v>23</v>
      </c>
      <c r="E296" t="s">
        <v>24</v>
      </c>
      <c r="F296" t="s">
        <v>33</v>
      </c>
      <c r="G296">
        <v>7200000</v>
      </c>
      <c r="H296">
        <v>2700000</v>
      </c>
      <c r="I296" t="s">
        <v>26</v>
      </c>
      <c r="J296" s="1">
        <v>46123</v>
      </c>
      <c r="K296">
        <v>8500000</v>
      </c>
      <c r="L296" t="s">
        <v>476</v>
      </c>
      <c r="M296">
        <v>805</v>
      </c>
      <c r="N296" t="s">
        <v>481</v>
      </c>
      <c r="O296">
        <v>2022</v>
      </c>
      <c r="P296" t="s">
        <v>495</v>
      </c>
    </row>
    <row r="297" spans="1:16" x14ac:dyDescent="0.3">
      <c r="A297" t="s">
        <v>339</v>
      </c>
      <c r="B297" s="1">
        <v>45580</v>
      </c>
      <c r="C297" t="s">
        <v>13</v>
      </c>
      <c r="D297" t="s">
        <v>23</v>
      </c>
      <c r="E297" t="s">
        <v>24</v>
      </c>
      <c r="F297" t="s">
        <v>51</v>
      </c>
      <c r="G297">
        <v>13100000</v>
      </c>
      <c r="H297">
        <v>13100000</v>
      </c>
      <c r="I297" t="s">
        <v>20</v>
      </c>
      <c r="J297" s="1">
        <v>45770</v>
      </c>
      <c r="K297">
        <v>8500000</v>
      </c>
      <c r="L297" t="s">
        <v>38</v>
      </c>
      <c r="M297">
        <v>0</v>
      </c>
      <c r="N297" t="s">
        <v>481</v>
      </c>
      <c r="O297">
        <v>2022</v>
      </c>
      <c r="P297" t="s">
        <v>494</v>
      </c>
    </row>
    <row r="298" spans="1:16" x14ac:dyDescent="0.3">
      <c r="A298" t="s">
        <v>340</v>
      </c>
      <c r="B298" s="1">
        <v>45339</v>
      </c>
      <c r="C298" t="s">
        <v>13</v>
      </c>
      <c r="D298" t="s">
        <v>23</v>
      </c>
      <c r="E298" t="s">
        <v>24</v>
      </c>
      <c r="F298" t="s">
        <v>33</v>
      </c>
      <c r="G298">
        <v>7600000</v>
      </c>
      <c r="H298">
        <v>7600000</v>
      </c>
      <c r="I298" t="s">
        <v>20</v>
      </c>
      <c r="J298" s="1">
        <v>45989</v>
      </c>
      <c r="K298">
        <v>8500000</v>
      </c>
      <c r="L298" t="s">
        <v>476</v>
      </c>
      <c r="M298">
        <v>0</v>
      </c>
      <c r="N298" t="s">
        <v>481</v>
      </c>
      <c r="O298">
        <v>2022</v>
      </c>
      <c r="P298" t="s">
        <v>494</v>
      </c>
    </row>
    <row r="299" spans="1:16" x14ac:dyDescent="0.3">
      <c r="A299" t="s">
        <v>341</v>
      </c>
      <c r="B299" s="1">
        <v>45413</v>
      </c>
      <c r="C299" t="s">
        <v>35</v>
      </c>
      <c r="D299" t="s">
        <v>23</v>
      </c>
      <c r="E299" t="s">
        <v>24</v>
      </c>
      <c r="F299" t="s">
        <v>51</v>
      </c>
      <c r="G299">
        <v>12800000</v>
      </c>
      <c r="H299">
        <v>0</v>
      </c>
      <c r="I299" t="s">
        <v>17</v>
      </c>
      <c r="J299" s="1">
        <v>45927</v>
      </c>
      <c r="K299">
        <v>9000000</v>
      </c>
      <c r="L299" t="s">
        <v>40</v>
      </c>
      <c r="M299">
        <v>0</v>
      </c>
      <c r="N299" t="s">
        <v>481</v>
      </c>
      <c r="O299">
        <v>2022</v>
      </c>
      <c r="P299" t="s">
        <v>476</v>
      </c>
    </row>
    <row r="300" spans="1:16" x14ac:dyDescent="0.3">
      <c r="A300" t="s">
        <v>342</v>
      </c>
      <c r="B300" s="1">
        <v>45636</v>
      </c>
      <c r="C300" t="s">
        <v>35</v>
      </c>
      <c r="D300" t="s">
        <v>23</v>
      </c>
      <c r="E300" t="s">
        <v>24</v>
      </c>
      <c r="F300" t="s">
        <v>16</v>
      </c>
      <c r="G300">
        <v>5700000</v>
      </c>
      <c r="H300">
        <v>5700000</v>
      </c>
      <c r="I300" t="s">
        <v>20</v>
      </c>
      <c r="J300" s="1">
        <v>46039</v>
      </c>
      <c r="K300">
        <v>9000000</v>
      </c>
      <c r="L300" t="s">
        <v>38</v>
      </c>
      <c r="M300">
        <v>0</v>
      </c>
      <c r="N300" t="s">
        <v>481</v>
      </c>
      <c r="O300">
        <v>2022</v>
      </c>
      <c r="P300" t="s">
        <v>494</v>
      </c>
    </row>
    <row r="301" spans="1:16" x14ac:dyDescent="0.3">
      <c r="A301" t="s">
        <v>343</v>
      </c>
      <c r="B301" s="1">
        <v>45425</v>
      </c>
      <c r="C301" t="s">
        <v>13</v>
      </c>
      <c r="D301" t="s">
        <v>23</v>
      </c>
      <c r="E301" t="s">
        <v>24</v>
      </c>
      <c r="F301" t="s">
        <v>33</v>
      </c>
      <c r="G301">
        <v>8550000</v>
      </c>
      <c r="H301">
        <v>8550000</v>
      </c>
      <c r="I301" t="s">
        <v>20</v>
      </c>
      <c r="J301" s="1">
        <v>45730</v>
      </c>
      <c r="K301">
        <v>8500000</v>
      </c>
      <c r="L301" t="s">
        <v>52</v>
      </c>
      <c r="M301">
        <v>0</v>
      </c>
      <c r="N301" t="s">
        <v>481</v>
      </c>
      <c r="O301">
        <v>2022</v>
      </c>
      <c r="P301" t="s">
        <v>494</v>
      </c>
    </row>
    <row r="302" spans="1:16" x14ac:dyDescent="0.3">
      <c r="A302" t="s">
        <v>344</v>
      </c>
      <c r="B302" s="1">
        <v>45353</v>
      </c>
      <c r="C302" t="s">
        <v>22</v>
      </c>
      <c r="D302" t="s">
        <v>44</v>
      </c>
      <c r="E302" t="s">
        <v>45</v>
      </c>
      <c r="F302" t="s">
        <v>25</v>
      </c>
      <c r="G302">
        <v>2650000</v>
      </c>
      <c r="H302">
        <v>1000000</v>
      </c>
      <c r="I302" t="s">
        <v>26</v>
      </c>
      <c r="J302" s="1">
        <v>46068</v>
      </c>
      <c r="K302">
        <v>8000000</v>
      </c>
      <c r="L302" t="s">
        <v>476</v>
      </c>
      <c r="M302">
        <v>758</v>
      </c>
      <c r="N302" t="s">
        <v>482</v>
      </c>
      <c r="O302">
        <v>2023</v>
      </c>
      <c r="P302" t="s">
        <v>495</v>
      </c>
    </row>
    <row r="303" spans="1:16" x14ac:dyDescent="0.3">
      <c r="A303" t="s">
        <v>345</v>
      </c>
      <c r="B303" s="1">
        <v>45573</v>
      </c>
      <c r="C303" t="s">
        <v>31</v>
      </c>
      <c r="D303" t="s">
        <v>23</v>
      </c>
      <c r="E303" t="s">
        <v>24</v>
      </c>
      <c r="F303" t="s">
        <v>33</v>
      </c>
      <c r="G303">
        <v>8550000</v>
      </c>
      <c r="H303">
        <v>8550000</v>
      </c>
      <c r="I303" t="s">
        <v>20</v>
      </c>
      <c r="J303" s="1">
        <v>45782</v>
      </c>
      <c r="K303">
        <v>7500000</v>
      </c>
      <c r="L303" t="s">
        <v>29</v>
      </c>
      <c r="M303">
        <v>0</v>
      </c>
      <c r="N303" t="s">
        <v>481</v>
      </c>
      <c r="O303">
        <v>2022</v>
      </c>
      <c r="P303" t="s">
        <v>494</v>
      </c>
    </row>
    <row r="304" spans="1:16" x14ac:dyDescent="0.3">
      <c r="A304" t="s">
        <v>346</v>
      </c>
      <c r="B304" s="1">
        <v>45330</v>
      </c>
      <c r="C304" t="s">
        <v>13</v>
      </c>
      <c r="D304" t="s">
        <v>23</v>
      </c>
      <c r="E304" t="s">
        <v>24</v>
      </c>
      <c r="F304" t="s">
        <v>16</v>
      </c>
      <c r="G304">
        <v>5300000</v>
      </c>
      <c r="H304">
        <v>0</v>
      </c>
      <c r="I304" t="s">
        <v>17</v>
      </c>
      <c r="J304" s="1">
        <v>45917</v>
      </c>
      <c r="K304">
        <v>8500000</v>
      </c>
      <c r="L304" t="s">
        <v>38</v>
      </c>
      <c r="M304">
        <v>0</v>
      </c>
      <c r="N304" t="s">
        <v>481</v>
      </c>
      <c r="O304">
        <v>2022</v>
      </c>
      <c r="P304" t="s">
        <v>476</v>
      </c>
    </row>
    <row r="305" spans="1:16" x14ac:dyDescent="0.3">
      <c r="A305" t="s">
        <v>347</v>
      </c>
      <c r="B305" s="1">
        <v>45653</v>
      </c>
      <c r="C305" t="s">
        <v>13</v>
      </c>
      <c r="D305" t="s">
        <v>14</v>
      </c>
      <c r="E305" t="s">
        <v>15</v>
      </c>
      <c r="F305" t="s">
        <v>16</v>
      </c>
      <c r="G305">
        <v>4100000</v>
      </c>
      <c r="H305">
        <v>4100000</v>
      </c>
      <c r="I305" t="s">
        <v>20</v>
      </c>
      <c r="J305" s="1">
        <v>46347</v>
      </c>
      <c r="K305">
        <v>8500000</v>
      </c>
      <c r="L305" t="s">
        <v>40</v>
      </c>
      <c r="M305">
        <v>0</v>
      </c>
      <c r="N305" t="s">
        <v>480</v>
      </c>
      <c r="O305">
        <v>2021</v>
      </c>
      <c r="P305" t="s">
        <v>494</v>
      </c>
    </row>
    <row r="306" spans="1:16" x14ac:dyDescent="0.3">
      <c r="A306" t="s">
        <v>348</v>
      </c>
      <c r="B306" s="1">
        <v>45598</v>
      </c>
      <c r="C306" t="s">
        <v>28</v>
      </c>
      <c r="D306" t="s">
        <v>14</v>
      </c>
      <c r="E306" t="s">
        <v>15</v>
      </c>
      <c r="F306" t="s">
        <v>51</v>
      </c>
      <c r="G306">
        <v>10100000</v>
      </c>
      <c r="H306">
        <v>10100000</v>
      </c>
      <c r="I306" t="s">
        <v>20</v>
      </c>
      <c r="J306" s="1">
        <v>46202</v>
      </c>
      <c r="K306">
        <v>7000000</v>
      </c>
      <c r="L306" t="s">
        <v>40</v>
      </c>
      <c r="M306">
        <v>0</v>
      </c>
      <c r="N306" t="s">
        <v>480</v>
      </c>
      <c r="O306">
        <v>2021</v>
      </c>
      <c r="P306" t="s">
        <v>494</v>
      </c>
    </row>
    <row r="307" spans="1:16" x14ac:dyDescent="0.3">
      <c r="A307" t="s">
        <v>349</v>
      </c>
      <c r="B307" s="1">
        <v>45465</v>
      </c>
      <c r="C307" t="s">
        <v>28</v>
      </c>
      <c r="D307" t="s">
        <v>23</v>
      </c>
      <c r="E307" t="s">
        <v>24</v>
      </c>
      <c r="F307" t="s">
        <v>33</v>
      </c>
      <c r="G307">
        <v>6650000</v>
      </c>
      <c r="H307">
        <v>2550000</v>
      </c>
      <c r="I307" t="s">
        <v>26</v>
      </c>
      <c r="J307" s="1">
        <v>45813</v>
      </c>
      <c r="K307">
        <v>7000000</v>
      </c>
      <c r="L307" t="s">
        <v>476</v>
      </c>
      <c r="M307">
        <v>646</v>
      </c>
      <c r="N307" t="s">
        <v>481</v>
      </c>
      <c r="O307">
        <v>2022</v>
      </c>
      <c r="P307" t="s">
        <v>495</v>
      </c>
    </row>
    <row r="308" spans="1:16" x14ac:dyDescent="0.3">
      <c r="A308" t="s">
        <v>350</v>
      </c>
      <c r="B308" s="1">
        <v>45595</v>
      </c>
      <c r="C308" t="s">
        <v>28</v>
      </c>
      <c r="D308" t="s">
        <v>14</v>
      </c>
      <c r="E308" t="s">
        <v>15</v>
      </c>
      <c r="F308" t="s">
        <v>33</v>
      </c>
      <c r="G308">
        <v>8450000</v>
      </c>
      <c r="H308">
        <v>0</v>
      </c>
      <c r="I308" t="s">
        <v>17</v>
      </c>
      <c r="J308" s="1">
        <v>45989</v>
      </c>
      <c r="K308">
        <v>7000000</v>
      </c>
      <c r="L308" t="s">
        <v>476</v>
      </c>
      <c r="M308">
        <v>0</v>
      </c>
      <c r="N308" t="s">
        <v>480</v>
      </c>
      <c r="O308">
        <v>2021</v>
      </c>
      <c r="P308" t="s">
        <v>476</v>
      </c>
    </row>
    <row r="309" spans="1:16" x14ac:dyDescent="0.3">
      <c r="A309" t="s">
        <v>351</v>
      </c>
      <c r="B309" s="1">
        <v>45582</v>
      </c>
      <c r="C309" t="s">
        <v>22</v>
      </c>
      <c r="D309" t="s">
        <v>23</v>
      </c>
      <c r="E309" t="s">
        <v>24</v>
      </c>
      <c r="F309" t="s">
        <v>51</v>
      </c>
      <c r="G309">
        <v>11350000</v>
      </c>
      <c r="H309">
        <v>0</v>
      </c>
      <c r="I309" t="s">
        <v>17</v>
      </c>
      <c r="J309" s="1">
        <v>46341</v>
      </c>
      <c r="K309">
        <v>8000000</v>
      </c>
      <c r="L309" t="s">
        <v>38</v>
      </c>
      <c r="M309">
        <v>0</v>
      </c>
      <c r="N309" t="s">
        <v>481</v>
      </c>
      <c r="O309">
        <v>2022</v>
      </c>
      <c r="P309" t="s">
        <v>476</v>
      </c>
    </row>
    <row r="310" spans="1:16" x14ac:dyDescent="0.3">
      <c r="A310" t="s">
        <v>352</v>
      </c>
      <c r="B310" s="1">
        <v>45571</v>
      </c>
      <c r="C310" t="s">
        <v>35</v>
      </c>
      <c r="D310" t="s">
        <v>14</v>
      </c>
      <c r="E310" t="s">
        <v>15</v>
      </c>
      <c r="F310" t="s">
        <v>51</v>
      </c>
      <c r="G310">
        <v>13400000</v>
      </c>
      <c r="H310">
        <v>0</v>
      </c>
      <c r="I310" t="s">
        <v>17</v>
      </c>
      <c r="J310" s="1">
        <v>46241</v>
      </c>
      <c r="K310">
        <v>9000000</v>
      </c>
      <c r="L310" t="s">
        <v>52</v>
      </c>
      <c r="M310">
        <v>0</v>
      </c>
      <c r="N310" t="s">
        <v>480</v>
      </c>
      <c r="O310">
        <v>2021</v>
      </c>
      <c r="P310" t="s">
        <v>476</v>
      </c>
    </row>
    <row r="311" spans="1:16" x14ac:dyDescent="0.3">
      <c r="A311" t="s">
        <v>353</v>
      </c>
      <c r="B311" s="1">
        <v>45613</v>
      </c>
      <c r="C311" t="s">
        <v>13</v>
      </c>
      <c r="D311" t="s">
        <v>14</v>
      </c>
      <c r="E311" t="s">
        <v>15</v>
      </c>
      <c r="F311" t="s">
        <v>33</v>
      </c>
      <c r="G311">
        <v>6900000</v>
      </c>
      <c r="H311">
        <v>1750000</v>
      </c>
      <c r="I311" t="s">
        <v>26</v>
      </c>
      <c r="J311" s="1">
        <v>46077</v>
      </c>
      <c r="K311">
        <v>8500000</v>
      </c>
      <c r="L311" t="s">
        <v>40</v>
      </c>
      <c r="M311">
        <v>498</v>
      </c>
      <c r="N311" t="s">
        <v>480</v>
      </c>
      <c r="O311">
        <v>2021</v>
      </c>
      <c r="P311" t="s">
        <v>495</v>
      </c>
    </row>
    <row r="312" spans="1:16" x14ac:dyDescent="0.3">
      <c r="A312" t="s">
        <v>354</v>
      </c>
      <c r="B312" s="1">
        <v>45432</v>
      </c>
      <c r="C312" t="s">
        <v>28</v>
      </c>
      <c r="D312" t="s">
        <v>23</v>
      </c>
      <c r="E312" t="s">
        <v>24</v>
      </c>
      <c r="F312" t="s">
        <v>16</v>
      </c>
      <c r="G312">
        <v>5250000</v>
      </c>
      <c r="H312">
        <v>1000000</v>
      </c>
      <c r="I312" t="s">
        <v>26</v>
      </c>
      <c r="J312" s="1">
        <v>46129</v>
      </c>
      <c r="K312">
        <v>7000000</v>
      </c>
      <c r="L312" t="s">
        <v>476</v>
      </c>
      <c r="M312">
        <v>679</v>
      </c>
      <c r="N312" t="s">
        <v>481</v>
      </c>
      <c r="O312">
        <v>2022</v>
      </c>
      <c r="P312" t="s">
        <v>495</v>
      </c>
    </row>
    <row r="313" spans="1:16" x14ac:dyDescent="0.3">
      <c r="A313" t="s">
        <v>355</v>
      </c>
      <c r="B313" s="1">
        <v>45471</v>
      </c>
      <c r="C313" t="s">
        <v>35</v>
      </c>
      <c r="D313" t="s">
        <v>14</v>
      </c>
      <c r="E313" t="s">
        <v>15</v>
      </c>
      <c r="F313" t="s">
        <v>16</v>
      </c>
      <c r="G313">
        <v>4050000</v>
      </c>
      <c r="H313">
        <v>0</v>
      </c>
      <c r="I313" t="s">
        <v>17</v>
      </c>
      <c r="J313" s="1">
        <v>45848</v>
      </c>
      <c r="K313">
        <v>9000000</v>
      </c>
      <c r="L313" t="s">
        <v>476</v>
      </c>
      <c r="M313">
        <v>0</v>
      </c>
      <c r="N313" t="s">
        <v>480</v>
      </c>
      <c r="O313">
        <v>2021</v>
      </c>
      <c r="P313" t="s">
        <v>476</v>
      </c>
    </row>
    <row r="314" spans="1:16" x14ac:dyDescent="0.3">
      <c r="A314" t="s">
        <v>356</v>
      </c>
      <c r="B314" s="1">
        <v>45650</v>
      </c>
      <c r="C314" t="s">
        <v>35</v>
      </c>
      <c r="D314" t="s">
        <v>14</v>
      </c>
      <c r="E314" t="s">
        <v>15</v>
      </c>
      <c r="F314" t="s">
        <v>16</v>
      </c>
      <c r="G314">
        <v>4100000</v>
      </c>
      <c r="H314">
        <v>4100000</v>
      </c>
      <c r="I314" t="s">
        <v>20</v>
      </c>
      <c r="J314" s="1">
        <v>46141</v>
      </c>
      <c r="K314">
        <v>9000000</v>
      </c>
      <c r="L314" t="s">
        <v>476</v>
      </c>
      <c r="M314">
        <v>0</v>
      </c>
      <c r="N314" t="s">
        <v>480</v>
      </c>
      <c r="O314">
        <v>2021</v>
      </c>
      <c r="P314" t="s">
        <v>494</v>
      </c>
    </row>
    <row r="315" spans="1:16" x14ac:dyDescent="0.3">
      <c r="A315" t="s">
        <v>358</v>
      </c>
      <c r="B315" s="1">
        <v>45405</v>
      </c>
      <c r="C315" t="s">
        <v>13</v>
      </c>
      <c r="D315" t="s">
        <v>23</v>
      </c>
      <c r="E315" t="s">
        <v>24</v>
      </c>
      <c r="F315" t="s">
        <v>33</v>
      </c>
      <c r="G315">
        <v>8950000</v>
      </c>
      <c r="H315">
        <v>8950000</v>
      </c>
      <c r="I315" t="s">
        <v>20</v>
      </c>
      <c r="J315" s="1">
        <v>46069</v>
      </c>
      <c r="K315">
        <v>8500000</v>
      </c>
      <c r="L315" t="s">
        <v>476</v>
      </c>
      <c r="M315">
        <v>0</v>
      </c>
      <c r="N315" t="s">
        <v>481</v>
      </c>
      <c r="O315">
        <v>2022</v>
      </c>
      <c r="P315" t="s">
        <v>494</v>
      </c>
    </row>
    <row r="316" spans="1:16" x14ac:dyDescent="0.3">
      <c r="A316" t="s">
        <v>359</v>
      </c>
      <c r="B316" s="1">
        <v>45503</v>
      </c>
      <c r="C316" t="s">
        <v>13</v>
      </c>
      <c r="D316" t="s">
        <v>23</v>
      </c>
      <c r="E316" t="s">
        <v>24</v>
      </c>
      <c r="F316" t="s">
        <v>33</v>
      </c>
      <c r="G316">
        <v>8050000</v>
      </c>
      <c r="H316">
        <v>8050000</v>
      </c>
      <c r="I316" t="s">
        <v>20</v>
      </c>
      <c r="J316" s="1">
        <v>46173</v>
      </c>
      <c r="K316">
        <v>8500000</v>
      </c>
      <c r="L316" t="s">
        <v>29</v>
      </c>
      <c r="M316">
        <v>0</v>
      </c>
      <c r="N316" t="s">
        <v>481</v>
      </c>
      <c r="O316">
        <v>2022</v>
      </c>
      <c r="P316" t="s">
        <v>494</v>
      </c>
    </row>
    <row r="317" spans="1:16" x14ac:dyDescent="0.3">
      <c r="A317" t="s">
        <v>360</v>
      </c>
      <c r="B317" s="1">
        <v>45540</v>
      </c>
      <c r="C317" t="s">
        <v>31</v>
      </c>
      <c r="D317" t="s">
        <v>14</v>
      </c>
      <c r="E317" t="s">
        <v>15</v>
      </c>
      <c r="F317" t="s">
        <v>16</v>
      </c>
      <c r="G317">
        <v>4150000</v>
      </c>
      <c r="H317">
        <v>4150000</v>
      </c>
      <c r="I317" t="s">
        <v>20</v>
      </c>
      <c r="J317" s="1">
        <v>45823</v>
      </c>
      <c r="K317">
        <v>7500000</v>
      </c>
      <c r="L317" t="s">
        <v>476</v>
      </c>
      <c r="M317">
        <v>0</v>
      </c>
      <c r="N317" t="s">
        <v>480</v>
      </c>
      <c r="O317">
        <v>2021</v>
      </c>
      <c r="P317" t="s">
        <v>494</v>
      </c>
    </row>
    <row r="318" spans="1:16" x14ac:dyDescent="0.3">
      <c r="A318" t="s">
        <v>361</v>
      </c>
      <c r="B318" s="1">
        <v>45532</v>
      </c>
      <c r="C318" t="s">
        <v>35</v>
      </c>
      <c r="D318" t="s">
        <v>23</v>
      </c>
      <c r="E318" t="s">
        <v>24</v>
      </c>
      <c r="F318" t="s">
        <v>16</v>
      </c>
      <c r="G318">
        <v>4850000</v>
      </c>
      <c r="H318">
        <v>4850000</v>
      </c>
      <c r="I318" t="s">
        <v>26</v>
      </c>
      <c r="J318" s="1">
        <v>46288</v>
      </c>
      <c r="K318">
        <v>9000000</v>
      </c>
      <c r="L318" t="s">
        <v>29</v>
      </c>
      <c r="M318">
        <v>579</v>
      </c>
      <c r="N318" t="s">
        <v>481</v>
      </c>
      <c r="O318">
        <v>2022</v>
      </c>
      <c r="P318" t="s">
        <v>494</v>
      </c>
    </row>
    <row r="319" spans="1:16" x14ac:dyDescent="0.3">
      <c r="A319" t="s">
        <v>362</v>
      </c>
      <c r="B319" s="1">
        <v>45370</v>
      </c>
      <c r="C319" t="s">
        <v>13</v>
      </c>
      <c r="D319" t="s">
        <v>44</v>
      </c>
      <c r="E319" t="s">
        <v>45</v>
      </c>
      <c r="F319" t="s">
        <v>16</v>
      </c>
      <c r="G319">
        <v>4850000</v>
      </c>
      <c r="H319">
        <v>0</v>
      </c>
      <c r="I319" t="s">
        <v>17</v>
      </c>
      <c r="J319" s="1">
        <v>46112</v>
      </c>
      <c r="K319">
        <v>8500000</v>
      </c>
      <c r="L319" t="s">
        <v>476</v>
      </c>
      <c r="M319">
        <v>0</v>
      </c>
      <c r="N319" t="s">
        <v>482</v>
      </c>
      <c r="O319">
        <v>2023</v>
      </c>
      <c r="P319" t="s">
        <v>476</v>
      </c>
    </row>
    <row r="320" spans="1:16" x14ac:dyDescent="0.3">
      <c r="A320" t="s">
        <v>363</v>
      </c>
      <c r="B320" s="1">
        <v>45353</v>
      </c>
      <c r="C320" t="s">
        <v>22</v>
      </c>
      <c r="D320" t="s">
        <v>44</v>
      </c>
      <c r="E320" t="s">
        <v>45</v>
      </c>
      <c r="F320" t="s">
        <v>25</v>
      </c>
      <c r="G320">
        <v>2650000</v>
      </c>
      <c r="H320">
        <v>1000000</v>
      </c>
      <c r="I320" t="s">
        <v>26</v>
      </c>
      <c r="J320" s="1">
        <v>46068</v>
      </c>
      <c r="K320">
        <v>8000000</v>
      </c>
      <c r="L320" t="s">
        <v>476</v>
      </c>
      <c r="M320">
        <v>758</v>
      </c>
      <c r="N320" t="s">
        <v>482</v>
      </c>
      <c r="O320">
        <v>2023</v>
      </c>
      <c r="P320" t="s">
        <v>495</v>
      </c>
    </row>
    <row r="321" spans="1:16" x14ac:dyDescent="0.3">
      <c r="A321" t="s">
        <v>364</v>
      </c>
      <c r="B321" s="1">
        <v>45543</v>
      </c>
      <c r="C321" t="s">
        <v>22</v>
      </c>
      <c r="D321" t="s">
        <v>14</v>
      </c>
      <c r="E321" t="s">
        <v>15</v>
      </c>
      <c r="F321" t="s">
        <v>16</v>
      </c>
      <c r="G321">
        <v>4300000</v>
      </c>
      <c r="H321">
        <v>1650000</v>
      </c>
      <c r="I321" t="s">
        <v>26</v>
      </c>
      <c r="J321" s="1">
        <v>45810</v>
      </c>
      <c r="K321">
        <v>8000000</v>
      </c>
      <c r="L321" t="s">
        <v>29</v>
      </c>
      <c r="M321">
        <v>568</v>
      </c>
      <c r="N321" t="s">
        <v>480</v>
      </c>
      <c r="O321">
        <v>2021</v>
      </c>
      <c r="P321" t="s">
        <v>495</v>
      </c>
    </row>
    <row r="322" spans="1:16" x14ac:dyDescent="0.3">
      <c r="A322" t="s">
        <v>365</v>
      </c>
      <c r="B322" s="1">
        <v>45438</v>
      </c>
      <c r="C322" t="s">
        <v>28</v>
      </c>
      <c r="D322" t="s">
        <v>14</v>
      </c>
      <c r="E322" t="s">
        <v>15</v>
      </c>
      <c r="F322" t="s">
        <v>16</v>
      </c>
      <c r="G322">
        <v>4300000</v>
      </c>
      <c r="H322">
        <v>4300000</v>
      </c>
      <c r="I322" t="s">
        <v>20</v>
      </c>
      <c r="J322" s="1">
        <v>45992</v>
      </c>
      <c r="K322">
        <v>7000000</v>
      </c>
      <c r="L322" t="s">
        <v>476</v>
      </c>
      <c r="M322">
        <v>0</v>
      </c>
      <c r="N322" t="s">
        <v>480</v>
      </c>
      <c r="O322">
        <v>2021</v>
      </c>
      <c r="P322" t="s">
        <v>494</v>
      </c>
    </row>
    <row r="323" spans="1:16" x14ac:dyDescent="0.3">
      <c r="A323" t="s">
        <v>366</v>
      </c>
      <c r="B323" s="1">
        <v>45577</v>
      </c>
      <c r="C323" t="s">
        <v>28</v>
      </c>
      <c r="D323" t="s">
        <v>14</v>
      </c>
      <c r="E323" t="s">
        <v>15</v>
      </c>
      <c r="F323" t="s">
        <v>25</v>
      </c>
      <c r="G323">
        <v>2600000</v>
      </c>
      <c r="H323">
        <v>2600000</v>
      </c>
      <c r="I323" t="s">
        <v>20</v>
      </c>
      <c r="J323" s="1">
        <v>46324</v>
      </c>
      <c r="K323">
        <v>7000000</v>
      </c>
      <c r="L323" t="s">
        <v>38</v>
      </c>
      <c r="M323">
        <v>0</v>
      </c>
      <c r="N323" t="s">
        <v>480</v>
      </c>
      <c r="O323">
        <v>2021</v>
      </c>
      <c r="P323" t="s">
        <v>494</v>
      </c>
    </row>
    <row r="324" spans="1:16" x14ac:dyDescent="0.3">
      <c r="A324" t="s">
        <v>367</v>
      </c>
      <c r="B324" s="1">
        <v>45463</v>
      </c>
      <c r="C324" t="s">
        <v>35</v>
      </c>
      <c r="D324" t="s">
        <v>23</v>
      </c>
      <c r="E324" t="s">
        <v>24</v>
      </c>
      <c r="F324" t="s">
        <v>16</v>
      </c>
      <c r="G324">
        <v>5800000</v>
      </c>
      <c r="H324">
        <v>1400000</v>
      </c>
      <c r="I324" t="s">
        <v>26</v>
      </c>
      <c r="J324" s="1">
        <v>45840</v>
      </c>
      <c r="K324">
        <v>9000000</v>
      </c>
      <c r="L324" t="s">
        <v>38</v>
      </c>
      <c r="M324">
        <v>648</v>
      </c>
      <c r="N324" t="s">
        <v>481</v>
      </c>
      <c r="O324">
        <v>2022</v>
      </c>
      <c r="P324" t="s">
        <v>495</v>
      </c>
    </row>
    <row r="325" spans="1:16" x14ac:dyDescent="0.3">
      <c r="A325" t="s">
        <v>368</v>
      </c>
      <c r="B325" s="1">
        <v>45523</v>
      </c>
      <c r="C325" t="s">
        <v>35</v>
      </c>
      <c r="D325" t="s">
        <v>14</v>
      </c>
      <c r="E325" t="s">
        <v>15</v>
      </c>
      <c r="F325" t="s">
        <v>16</v>
      </c>
      <c r="G325">
        <v>5650000</v>
      </c>
      <c r="H325">
        <v>750000</v>
      </c>
      <c r="I325" t="s">
        <v>26</v>
      </c>
      <c r="J325" s="1">
        <v>45811</v>
      </c>
      <c r="K325">
        <v>9000000</v>
      </c>
      <c r="L325" t="s">
        <v>52</v>
      </c>
      <c r="M325">
        <v>588</v>
      </c>
      <c r="N325" t="s">
        <v>480</v>
      </c>
      <c r="O325">
        <v>2021</v>
      </c>
      <c r="P325" t="s">
        <v>495</v>
      </c>
    </row>
    <row r="326" spans="1:16" x14ac:dyDescent="0.3">
      <c r="A326" t="s">
        <v>369</v>
      </c>
      <c r="B326" s="1">
        <v>45539</v>
      </c>
      <c r="C326" t="s">
        <v>22</v>
      </c>
      <c r="D326" t="s">
        <v>23</v>
      </c>
      <c r="E326" t="s">
        <v>24</v>
      </c>
      <c r="F326" t="s">
        <v>33</v>
      </c>
      <c r="G326">
        <v>7750000</v>
      </c>
      <c r="H326">
        <v>0</v>
      </c>
      <c r="I326" t="s">
        <v>17</v>
      </c>
      <c r="J326" s="1">
        <v>46021</v>
      </c>
      <c r="K326">
        <v>8000000</v>
      </c>
      <c r="L326" t="s">
        <v>42</v>
      </c>
      <c r="M326">
        <v>0</v>
      </c>
      <c r="N326" t="s">
        <v>481</v>
      </c>
      <c r="O326">
        <v>2022</v>
      </c>
      <c r="P326" t="s">
        <v>476</v>
      </c>
    </row>
    <row r="327" spans="1:16" x14ac:dyDescent="0.3">
      <c r="A327" t="s">
        <v>370</v>
      </c>
      <c r="B327" s="1">
        <v>45442</v>
      </c>
      <c r="C327" t="s">
        <v>13</v>
      </c>
      <c r="D327" t="s">
        <v>14</v>
      </c>
      <c r="E327" t="s">
        <v>15</v>
      </c>
      <c r="F327" t="s">
        <v>33</v>
      </c>
      <c r="G327">
        <v>7600000</v>
      </c>
      <c r="H327">
        <v>2500000</v>
      </c>
      <c r="I327" t="s">
        <v>26</v>
      </c>
      <c r="J327" s="1">
        <v>46141</v>
      </c>
      <c r="K327">
        <v>8500000</v>
      </c>
      <c r="L327" t="s">
        <v>38</v>
      </c>
      <c r="M327">
        <v>669</v>
      </c>
      <c r="N327" t="s">
        <v>480</v>
      </c>
      <c r="O327">
        <v>2021</v>
      </c>
      <c r="P327" t="s">
        <v>495</v>
      </c>
    </row>
    <row r="328" spans="1:16" x14ac:dyDescent="0.3">
      <c r="A328" t="s">
        <v>371</v>
      </c>
      <c r="B328" s="1">
        <v>45431</v>
      </c>
      <c r="C328" t="s">
        <v>35</v>
      </c>
      <c r="D328" t="s">
        <v>14</v>
      </c>
      <c r="E328" t="s">
        <v>15</v>
      </c>
      <c r="F328" t="s">
        <v>16</v>
      </c>
      <c r="G328">
        <v>4300000</v>
      </c>
      <c r="H328">
        <v>4300000</v>
      </c>
      <c r="I328" t="s">
        <v>20</v>
      </c>
      <c r="J328" s="1">
        <v>46003</v>
      </c>
      <c r="K328">
        <v>9000000</v>
      </c>
      <c r="L328" t="s">
        <v>52</v>
      </c>
      <c r="M328">
        <v>0</v>
      </c>
      <c r="N328" t="s">
        <v>480</v>
      </c>
      <c r="O328">
        <v>2021</v>
      </c>
      <c r="P328" t="s">
        <v>494</v>
      </c>
    </row>
    <row r="329" spans="1:16" x14ac:dyDescent="0.3">
      <c r="A329" t="s">
        <v>372</v>
      </c>
      <c r="B329" s="1">
        <v>45619</v>
      </c>
      <c r="C329" t="s">
        <v>13</v>
      </c>
      <c r="D329" t="s">
        <v>14</v>
      </c>
      <c r="E329" t="s">
        <v>15</v>
      </c>
      <c r="F329" t="s">
        <v>16</v>
      </c>
      <c r="G329">
        <v>5250000</v>
      </c>
      <c r="H329">
        <v>1150000</v>
      </c>
      <c r="I329" t="s">
        <v>26</v>
      </c>
      <c r="J329" s="1">
        <v>46018</v>
      </c>
      <c r="K329">
        <v>8500000</v>
      </c>
      <c r="L329" t="s">
        <v>29</v>
      </c>
      <c r="M329">
        <v>492</v>
      </c>
      <c r="N329" t="s">
        <v>480</v>
      </c>
      <c r="O329">
        <v>2021</v>
      </c>
      <c r="P329" t="s">
        <v>495</v>
      </c>
    </row>
    <row r="330" spans="1:16" x14ac:dyDescent="0.3">
      <c r="A330" t="s">
        <v>373</v>
      </c>
      <c r="B330" s="1">
        <v>45456</v>
      </c>
      <c r="C330" t="s">
        <v>22</v>
      </c>
      <c r="D330" t="s">
        <v>23</v>
      </c>
      <c r="E330" t="s">
        <v>24</v>
      </c>
      <c r="F330" t="s">
        <v>16</v>
      </c>
      <c r="G330">
        <v>4950000</v>
      </c>
      <c r="H330">
        <v>1550000</v>
      </c>
      <c r="I330" t="s">
        <v>26</v>
      </c>
      <c r="J330" s="1">
        <v>45806</v>
      </c>
      <c r="K330">
        <v>8000000</v>
      </c>
      <c r="L330" t="s">
        <v>476</v>
      </c>
      <c r="M330">
        <v>655</v>
      </c>
      <c r="N330" t="s">
        <v>481</v>
      </c>
      <c r="O330">
        <v>2022</v>
      </c>
      <c r="P330" t="s">
        <v>495</v>
      </c>
    </row>
    <row r="331" spans="1:16" x14ac:dyDescent="0.3">
      <c r="A331" t="s">
        <v>374</v>
      </c>
      <c r="B331" s="1">
        <v>45567</v>
      </c>
      <c r="C331" t="s">
        <v>31</v>
      </c>
      <c r="D331" t="s">
        <v>44</v>
      </c>
      <c r="E331" t="s">
        <v>45</v>
      </c>
      <c r="F331" t="s">
        <v>51</v>
      </c>
      <c r="G331">
        <v>10200000</v>
      </c>
      <c r="H331">
        <v>2400000</v>
      </c>
      <c r="I331" t="s">
        <v>26</v>
      </c>
      <c r="J331" s="1">
        <v>46467</v>
      </c>
      <c r="K331">
        <v>7500000</v>
      </c>
      <c r="L331" t="s">
        <v>40</v>
      </c>
      <c r="M331">
        <v>544</v>
      </c>
      <c r="N331" t="s">
        <v>482</v>
      </c>
      <c r="O331">
        <v>2023</v>
      </c>
      <c r="P331" t="s">
        <v>495</v>
      </c>
    </row>
    <row r="332" spans="1:16" x14ac:dyDescent="0.3">
      <c r="A332" t="s">
        <v>375</v>
      </c>
      <c r="B332" s="1">
        <v>45367</v>
      </c>
      <c r="C332" t="s">
        <v>31</v>
      </c>
      <c r="D332" t="s">
        <v>14</v>
      </c>
      <c r="E332" t="s">
        <v>15</v>
      </c>
      <c r="F332" t="s">
        <v>16</v>
      </c>
      <c r="G332">
        <v>4050000</v>
      </c>
      <c r="H332">
        <v>800000</v>
      </c>
      <c r="I332" t="s">
        <v>26</v>
      </c>
      <c r="J332" s="1">
        <v>45702</v>
      </c>
      <c r="K332">
        <v>7500000</v>
      </c>
      <c r="L332" t="s">
        <v>476</v>
      </c>
      <c r="M332">
        <v>744</v>
      </c>
      <c r="N332" t="s">
        <v>480</v>
      </c>
      <c r="O332">
        <v>2021</v>
      </c>
      <c r="P332" t="s">
        <v>495</v>
      </c>
    </row>
    <row r="333" spans="1:16" x14ac:dyDescent="0.3">
      <c r="A333" t="s">
        <v>376</v>
      </c>
      <c r="B333" s="1">
        <v>45333</v>
      </c>
      <c r="C333" t="s">
        <v>35</v>
      </c>
      <c r="D333" t="s">
        <v>23</v>
      </c>
      <c r="E333" t="s">
        <v>24</v>
      </c>
      <c r="F333" t="s">
        <v>25</v>
      </c>
      <c r="G333">
        <v>3400000</v>
      </c>
      <c r="H333">
        <v>0</v>
      </c>
      <c r="I333" t="s">
        <v>17</v>
      </c>
      <c r="J333" s="1">
        <v>46178</v>
      </c>
      <c r="K333">
        <v>9000000</v>
      </c>
      <c r="L333" t="s">
        <v>40</v>
      </c>
      <c r="M333">
        <v>0</v>
      </c>
      <c r="N333" t="s">
        <v>481</v>
      </c>
      <c r="O333">
        <v>2022</v>
      </c>
      <c r="P333" t="s">
        <v>476</v>
      </c>
    </row>
    <row r="334" spans="1:16" x14ac:dyDescent="0.3">
      <c r="A334" t="s">
        <v>377</v>
      </c>
      <c r="B334" s="1">
        <v>45630</v>
      </c>
      <c r="C334" t="s">
        <v>22</v>
      </c>
      <c r="D334" t="s">
        <v>23</v>
      </c>
      <c r="E334" t="s">
        <v>24</v>
      </c>
      <c r="F334" t="s">
        <v>51</v>
      </c>
      <c r="G334">
        <v>11500000</v>
      </c>
      <c r="H334">
        <v>2250000</v>
      </c>
      <c r="I334" t="s">
        <v>26</v>
      </c>
      <c r="J334" s="1">
        <v>45988</v>
      </c>
      <c r="K334">
        <v>8000000</v>
      </c>
      <c r="L334" t="s">
        <v>18</v>
      </c>
      <c r="M334">
        <v>481</v>
      </c>
      <c r="N334" t="s">
        <v>481</v>
      </c>
      <c r="O334">
        <v>2022</v>
      </c>
      <c r="P334" t="s">
        <v>495</v>
      </c>
    </row>
    <row r="335" spans="1:16" x14ac:dyDescent="0.3">
      <c r="A335" t="s">
        <v>378</v>
      </c>
      <c r="B335" s="1">
        <v>45532</v>
      </c>
      <c r="C335" t="s">
        <v>35</v>
      </c>
      <c r="D335" t="s">
        <v>23</v>
      </c>
      <c r="E335" t="s">
        <v>24</v>
      </c>
      <c r="F335" t="s">
        <v>33</v>
      </c>
      <c r="G335">
        <v>6950000</v>
      </c>
      <c r="H335">
        <v>6950000</v>
      </c>
      <c r="I335" t="s">
        <v>20</v>
      </c>
      <c r="J335" s="1">
        <v>46049</v>
      </c>
      <c r="K335">
        <v>9000000</v>
      </c>
      <c r="L335" t="s">
        <v>476</v>
      </c>
      <c r="M335">
        <v>0</v>
      </c>
      <c r="N335" t="s">
        <v>481</v>
      </c>
      <c r="O335">
        <v>2022</v>
      </c>
      <c r="P335" t="s">
        <v>494</v>
      </c>
    </row>
    <row r="336" spans="1:16" x14ac:dyDescent="0.3">
      <c r="A336" t="s">
        <v>379</v>
      </c>
      <c r="B336" s="1">
        <v>45528</v>
      </c>
      <c r="C336" t="s">
        <v>35</v>
      </c>
      <c r="D336" t="s">
        <v>44</v>
      </c>
      <c r="E336" t="s">
        <v>45</v>
      </c>
      <c r="F336" t="s">
        <v>33</v>
      </c>
      <c r="G336">
        <v>8250000</v>
      </c>
      <c r="H336">
        <v>8250000</v>
      </c>
      <c r="I336" t="s">
        <v>20</v>
      </c>
      <c r="J336" s="1">
        <v>45912</v>
      </c>
      <c r="K336">
        <v>9000000</v>
      </c>
      <c r="L336" t="s">
        <v>52</v>
      </c>
      <c r="M336">
        <v>0</v>
      </c>
      <c r="N336" t="s">
        <v>482</v>
      </c>
      <c r="O336">
        <v>2023</v>
      </c>
      <c r="P336" t="s">
        <v>494</v>
      </c>
    </row>
    <row r="337" spans="1:16" x14ac:dyDescent="0.3">
      <c r="A337" t="s">
        <v>380</v>
      </c>
      <c r="B337" s="1">
        <v>45381</v>
      </c>
      <c r="C337" t="s">
        <v>22</v>
      </c>
      <c r="D337" t="s">
        <v>23</v>
      </c>
      <c r="E337" t="s">
        <v>24</v>
      </c>
      <c r="F337" t="s">
        <v>33</v>
      </c>
      <c r="G337">
        <v>8800000</v>
      </c>
      <c r="H337">
        <v>8800000</v>
      </c>
      <c r="I337" t="s">
        <v>20</v>
      </c>
      <c r="J337" s="1">
        <v>45657</v>
      </c>
      <c r="K337">
        <v>8000000</v>
      </c>
      <c r="L337" t="s">
        <v>476</v>
      </c>
      <c r="M337">
        <v>0</v>
      </c>
      <c r="N337" t="s">
        <v>481</v>
      </c>
      <c r="O337">
        <v>2022</v>
      </c>
      <c r="P337" t="s">
        <v>494</v>
      </c>
    </row>
    <row r="338" spans="1:16" x14ac:dyDescent="0.3">
      <c r="A338" t="s">
        <v>381</v>
      </c>
      <c r="B338" s="1">
        <v>45525</v>
      </c>
      <c r="C338" t="s">
        <v>31</v>
      </c>
      <c r="D338" t="s">
        <v>14</v>
      </c>
      <c r="E338" t="s">
        <v>15</v>
      </c>
      <c r="F338" t="s">
        <v>16</v>
      </c>
      <c r="G338">
        <v>5950000</v>
      </c>
      <c r="H338">
        <v>1150000</v>
      </c>
      <c r="I338" t="s">
        <v>26</v>
      </c>
      <c r="J338" s="1">
        <v>46107</v>
      </c>
      <c r="K338">
        <v>7500000</v>
      </c>
      <c r="L338" t="s">
        <v>18</v>
      </c>
      <c r="M338">
        <v>586</v>
      </c>
      <c r="N338" t="s">
        <v>480</v>
      </c>
      <c r="O338">
        <v>2021</v>
      </c>
      <c r="P338" t="s">
        <v>495</v>
      </c>
    </row>
    <row r="339" spans="1:16" x14ac:dyDescent="0.3">
      <c r="A339" t="s">
        <v>382</v>
      </c>
      <c r="B339" s="1">
        <v>45612</v>
      </c>
      <c r="C339" t="s">
        <v>35</v>
      </c>
      <c r="D339" t="s">
        <v>44</v>
      </c>
      <c r="E339" t="s">
        <v>45</v>
      </c>
      <c r="F339" t="s">
        <v>33</v>
      </c>
      <c r="G339">
        <v>7350000</v>
      </c>
      <c r="H339">
        <v>7350000</v>
      </c>
      <c r="I339" t="s">
        <v>20</v>
      </c>
      <c r="J339" s="1">
        <v>46174</v>
      </c>
      <c r="K339">
        <v>9000000</v>
      </c>
      <c r="L339" t="s">
        <v>52</v>
      </c>
      <c r="M339">
        <v>0</v>
      </c>
      <c r="N339" t="s">
        <v>482</v>
      </c>
      <c r="O339">
        <v>2023</v>
      </c>
      <c r="P339" t="s">
        <v>494</v>
      </c>
    </row>
    <row r="340" spans="1:16" x14ac:dyDescent="0.3">
      <c r="A340" t="s">
        <v>383</v>
      </c>
      <c r="B340" s="1">
        <v>45504</v>
      </c>
      <c r="C340" t="s">
        <v>31</v>
      </c>
      <c r="D340" t="s">
        <v>23</v>
      </c>
      <c r="E340" t="s">
        <v>24</v>
      </c>
      <c r="F340" t="s">
        <v>33</v>
      </c>
      <c r="G340">
        <v>8600000</v>
      </c>
      <c r="H340">
        <v>8600000</v>
      </c>
      <c r="I340" t="s">
        <v>20</v>
      </c>
      <c r="J340" s="1">
        <v>45852</v>
      </c>
      <c r="K340">
        <v>7500000</v>
      </c>
      <c r="L340" t="s">
        <v>18</v>
      </c>
      <c r="M340">
        <v>0</v>
      </c>
      <c r="N340" t="s">
        <v>481</v>
      </c>
      <c r="O340">
        <v>2022</v>
      </c>
      <c r="P340" t="s">
        <v>494</v>
      </c>
    </row>
    <row r="341" spans="1:16" x14ac:dyDescent="0.3">
      <c r="A341" t="s">
        <v>384</v>
      </c>
      <c r="B341" s="1">
        <v>45293</v>
      </c>
      <c r="C341" t="s">
        <v>13</v>
      </c>
      <c r="D341" t="s">
        <v>23</v>
      </c>
      <c r="E341" t="s">
        <v>24</v>
      </c>
      <c r="F341" t="s">
        <v>16</v>
      </c>
      <c r="G341">
        <v>4900000</v>
      </c>
      <c r="H341">
        <v>0</v>
      </c>
      <c r="I341" t="s">
        <v>17</v>
      </c>
      <c r="J341" s="1">
        <v>46042</v>
      </c>
      <c r="K341">
        <v>8500000</v>
      </c>
      <c r="L341" t="s">
        <v>476</v>
      </c>
      <c r="M341">
        <v>0</v>
      </c>
      <c r="N341" t="s">
        <v>481</v>
      </c>
      <c r="O341">
        <v>2022</v>
      </c>
      <c r="P341" t="s">
        <v>476</v>
      </c>
    </row>
    <row r="342" spans="1:16" x14ac:dyDescent="0.3">
      <c r="A342" t="s">
        <v>385</v>
      </c>
      <c r="B342" s="1">
        <v>45647</v>
      </c>
      <c r="C342" t="s">
        <v>13</v>
      </c>
      <c r="D342" t="s">
        <v>23</v>
      </c>
      <c r="E342" t="s">
        <v>24</v>
      </c>
      <c r="F342" t="s">
        <v>51</v>
      </c>
      <c r="G342">
        <v>9800000</v>
      </c>
      <c r="H342">
        <v>1250000</v>
      </c>
      <c r="I342" t="s">
        <v>26</v>
      </c>
      <c r="J342" s="1">
        <v>46085</v>
      </c>
      <c r="K342">
        <v>8500000</v>
      </c>
      <c r="L342" t="s">
        <v>40</v>
      </c>
      <c r="M342">
        <v>464</v>
      </c>
      <c r="N342" t="s">
        <v>481</v>
      </c>
      <c r="O342">
        <v>2022</v>
      </c>
      <c r="P342" t="s">
        <v>495</v>
      </c>
    </row>
    <row r="343" spans="1:16" x14ac:dyDescent="0.3">
      <c r="A343" t="s">
        <v>386</v>
      </c>
      <c r="B343" s="1">
        <v>45544</v>
      </c>
      <c r="C343" t="s">
        <v>13</v>
      </c>
      <c r="D343" t="s">
        <v>14</v>
      </c>
      <c r="E343" t="s">
        <v>15</v>
      </c>
      <c r="F343" t="s">
        <v>16</v>
      </c>
      <c r="G343">
        <v>5550000</v>
      </c>
      <c r="H343">
        <v>5550000</v>
      </c>
      <c r="I343" t="s">
        <v>20</v>
      </c>
      <c r="J343" s="1">
        <v>46342</v>
      </c>
      <c r="K343">
        <v>8500000</v>
      </c>
      <c r="L343" t="s">
        <v>18</v>
      </c>
      <c r="M343">
        <v>0</v>
      </c>
      <c r="N343" t="s">
        <v>480</v>
      </c>
      <c r="O343">
        <v>2021</v>
      </c>
      <c r="P343" t="s">
        <v>494</v>
      </c>
    </row>
    <row r="344" spans="1:16" x14ac:dyDescent="0.3">
      <c r="A344" t="s">
        <v>387</v>
      </c>
      <c r="B344" s="1">
        <v>45338</v>
      </c>
      <c r="C344" t="s">
        <v>22</v>
      </c>
      <c r="D344" t="s">
        <v>14</v>
      </c>
      <c r="E344" t="s">
        <v>15</v>
      </c>
      <c r="F344" t="s">
        <v>25</v>
      </c>
      <c r="G344">
        <v>3050000</v>
      </c>
      <c r="H344">
        <v>300000</v>
      </c>
      <c r="I344" t="s">
        <v>26</v>
      </c>
      <c r="J344" s="1">
        <v>46146</v>
      </c>
      <c r="K344">
        <v>8000000</v>
      </c>
      <c r="L344" t="s">
        <v>29</v>
      </c>
      <c r="M344">
        <v>773</v>
      </c>
      <c r="N344" t="s">
        <v>480</v>
      </c>
      <c r="O344">
        <v>2021</v>
      </c>
      <c r="P344" t="s">
        <v>495</v>
      </c>
    </row>
    <row r="345" spans="1:16" x14ac:dyDescent="0.3">
      <c r="A345" t="s">
        <v>388</v>
      </c>
      <c r="B345" s="1">
        <v>45640</v>
      </c>
      <c r="C345" t="s">
        <v>22</v>
      </c>
      <c r="D345" t="s">
        <v>44</v>
      </c>
      <c r="E345" t="s">
        <v>45</v>
      </c>
      <c r="F345" t="s">
        <v>51</v>
      </c>
      <c r="G345">
        <v>11750000</v>
      </c>
      <c r="H345">
        <v>0</v>
      </c>
      <c r="I345" t="s">
        <v>17</v>
      </c>
      <c r="J345" s="1">
        <v>46168</v>
      </c>
      <c r="K345">
        <v>8000000</v>
      </c>
      <c r="L345" t="s">
        <v>38</v>
      </c>
      <c r="M345">
        <v>0</v>
      </c>
      <c r="N345" t="s">
        <v>482</v>
      </c>
      <c r="O345">
        <v>2023</v>
      </c>
      <c r="P345" t="s">
        <v>476</v>
      </c>
    </row>
    <row r="346" spans="1:16" x14ac:dyDescent="0.3">
      <c r="A346" t="s">
        <v>389</v>
      </c>
      <c r="B346" s="1">
        <v>45421</v>
      </c>
      <c r="C346" t="s">
        <v>35</v>
      </c>
      <c r="D346" t="s">
        <v>23</v>
      </c>
      <c r="E346" t="s">
        <v>24</v>
      </c>
      <c r="F346" t="s">
        <v>25</v>
      </c>
      <c r="G346">
        <v>2900000</v>
      </c>
      <c r="H346">
        <v>700000</v>
      </c>
      <c r="I346" t="s">
        <v>26</v>
      </c>
      <c r="J346" s="1">
        <v>45850</v>
      </c>
      <c r="K346">
        <v>9000000</v>
      </c>
      <c r="L346" t="s">
        <v>29</v>
      </c>
      <c r="M346">
        <v>690</v>
      </c>
      <c r="N346" t="s">
        <v>481</v>
      </c>
      <c r="O346">
        <v>2022</v>
      </c>
      <c r="P346" t="s">
        <v>495</v>
      </c>
    </row>
    <row r="347" spans="1:16" x14ac:dyDescent="0.3">
      <c r="A347" t="s">
        <v>390</v>
      </c>
      <c r="B347" s="1">
        <v>45371</v>
      </c>
      <c r="C347" t="s">
        <v>35</v>
      </c>
      <c r="D347" t="s">
        <v>14</v>
      </c>
      <c r="E347" t="s">
        <v>15</v>
      </c>
      <c r="F347" t="s">
        <v>25</v>
      </c>
      <c r="G347">
        <v>3350000</v>
      </c>
      <c r="H347">
        <v>0</v>
      </c>
      <c r="I347" t="s">
        <v>17</v>
      </c>
      <c r="J347" s="1">
        <v>45980</v>
      </c>
      <c r="K347">
        <v>9000000</v>
      </c>
      <c r="L347" t="s">
        <v>42</v>
      </c>
      <c r="M347">
        <v>0</v>
      </c>
      <c r="N347" t="s">
        <v>480</v>
      </c>
      <c r="O347">
        <v>2021</v>
      </c>
      <c r="P347" t="s">
        <v>476</v>
      </c>
    </row>
    <row r="348" spans="1:16" x14ac:dyDescent="0.3">
      <c r="A348" t="s">
        <v>391</v>
      </c>
      <c r="B348" s="1">
        <v>45317</v>
      </c>
      <c r="C348" t="s">
        <v>35</v>
      </c>
      <c r="D348" t="s">
        <v>14</v>
      </c>
      <c r="E348" t="s">
        <v>15</v>
      </c>
      <c r="F348" t="s">
        <v>16</v>
      </c>
      <c r="G348">
        <v>4700000</v>
      </c>
      <c r="H348">
        <v>4700000</v>
      </c>
      <c r="I348" t="s">
        <v>20</v>
      </c>
      <c r="J348" s="1">
        <v>45885</v>
      </c>
      <c r="K348">
        <v>9000000</v>
      </c>
      <c r="L348" t="s">
        <v>18</v>
      </c>
      <c r="M348">
        <v>0</v>
      </c>
      <c r="N348" t="s">
        <v>480</v>
      </c>
      <c r="O348">
        <v>2021</v>
      </c>
      <c r="P348" t="s">
        <v>494</v>
      </c>
    </row>
    <row r="349" spans="1:16" x14ac:dyDescent="0.3">
      <c r="A349" t="s">
        <v>392</v>
      </c>
      <c r="B349" s="1">
        <v>45473</v>
      </c>
      <c r="C349" t="s">
        <v>31</v>
      </c>
      <c r="D349" t="s">
        <v>23</v>
      </c>
      <c r="E349" t="s">
        <v>24</v>
      </c>
      <c r="F349" t="s">
        <v>51</v>
      </c>
      <c r="G349">
        <v>12500000</v>
      </c>
      <c r="H349">
        <v>1350000</v>
      </c>
      <c r="I349" t="s">
        <v>26</v>
      </c>
      <c r="J349" s="1">
        <v>46370</v>
      </c>
      <c r="K349">
        <v>7500000</v>
      </c>
      <c r="L349" t="s">
        <v>40</v>
      </c>
      <c r="M349">
        <v>638</v>
      </c>
      <c r="N349" t="s">
        <v>481</v>
      </c>
      <c r="O349">
        <v>2022</v>
      </c>
      <c r="P349" t="s">
        <v>495</v>
      </c>
    </row>
    <row r="350" spans="1:16" x14ac:dyDescent="0.3">
      <c r="A350" t="s">
        <v>393</v>
      </c>
      <c r="B350" s="1">
        <v>45331</v>
      </c>
      <c r="C350" t="s">
        <v>28</v>
      </c>
      <c r="D350" t="s">
        <v>14</v>
      </c>
      <c r="E350" t="s">
        <v>15</v>
      </c>
      <c r="F350" t="s">
        <v>33</v>
      </c>
      <c r="G350">
        <v>8750000</v>
      </c>
      <c r="H350">
        <v>8750000</v>
      </c>
      <c r="I350" t="s">
        <v>20</v>
      </c>
      <c r="J350" s="1">
        <v>45679</v>
      </c>
      <c r="K350">
        <v>7000000</v>
      </c>
      <c r="L350" t="s">
        <v>40</v>
      </c>
      <c r="M350">
        <v>0</v>
      </c>
      <c r="N350" t="s">
        <v>480</v>
      </c>
      <c r="O350">
        <v>2021</v>
      </c>
      <c r="P350" t="s">
        <v>494</v>
      </c>
    </row>
    <row r="351" spans="1:16" x14ac:dyDescent="0.3">
      <c r="A351" t="s">
        <v>394</v>
      </c>
      <c r="B351" s="1">
        <v>45413</v>
      </c>
      <c r="C351" t="s">
        <v>13</v>
      </c>
      <c r="D351" t="s">
        <v>14</v>
      </c>
      <c r="E351" t="s">
        <v>15</v>
      </c>
      <c r="F351" t="s">
        <v>16</v>
      </c>
      <c r="G351">
        <v>5500000</v>
      </c>
      <c r="H351">
        <v>5500000</v>
      </c>
      <c r="I351" t="s">
        <v>20</v>
      </c>
      <c r="J351" s="1">
        <v>45688</v>
      </c>
      <c r="K351">
        <v>8500000</v>
      </c>
      <c r="L351" t="s">
        <v>42</v>
      </c>
      <c r="M351">
        <v>0</v>
      </c>
      <c r="N351" t="s">
        <v>480</v>
      </c>
      <c r="O351">
        <v>2021</v>
      </c>
      <c r="P351" t="s">
        <v>494</v>
      </c>
    </row>
    <row r="352" spans="1:16" x14ac:dyDescent="0.3">
      <c r="A352" t="s">
        <v>395</v>
      </c>
      <c r="B352" s="1">
        <v>45609</v>
      </c>
      <c r="C352" t="s">
        <v>22</v>
      </c>
      <c r="D352" t="s">
        <v>23</v>
      </c>
      <c r="E352" t="s">
        <v>24</v>
      </c>
      <c r="F352" t="s">
        <v>16</v>
      </c>
      <c r="G352">
        <v>4450000</v>
      </c>
      <c r="H352">
        <v>0</v>
      </c>
      <c r="I352" t="s">
        <v>17</v>
      </c>
      <c r="J352" s="1">
        <v>46110</v>
      </c>
      <c r="K352">
        <v>8000000</v>
      </c>
      <c r="L352" t="s">
        <v>29</v>
      </c>
      <c r="M352">
        <v>0</v>
      </c>
      <c r="N352" t="s">
        <v>481</v>
      </c>
      <c r="O352">
        <v>2022</v>
      </c>
      <c r="P352" t="s">
        <v>476</v>
      </c>
    </row>
    <row r="353" spans="1:16" x14ac:dyDescent="0.3">
      <c r="A353" t="s">
        <v>396</v>
      </c>
      <c r="B353" s="1">
        <v>45576</v>
      </c>
      <c r="C353" t="s">
        <v>22</v>
      </c>
      <c r="D353" t="s">
        <v>14</v>
      </c>
      <c r="E353" t="s">
        <v>15</v>
      </c>
      <c r="F353" t="s">
        <v>25</v>
      </c>
      <c r="G353">
        <v>2750000</v>
      </c>
      <c r="H353">
        <v>0</v>
      </c>
      <c r="I353" t="s">
        <v>17</v>
      </c>
      <c r="J353" s="1">
        <v>46172</v>
      </c>
      <c r="K353">
        <v>8000000</v>
      </c>
      <c r="L353" t="s">
        <v>476</v>
      </c>
      <c r="M353">
        <v>0</v>
      </c>
      <c r="N353" t="s">
        <v>480</v>
      </c>
      <c r="O353">
        <v>2021</v>
      </c>
      <c r="P353" t="s">
        <v>476</v>
      </c>
    </row>
    <row r="354" spans="1:16" x14ac:dyDescent="0.3">
      <c r="A354" t="s">
        <v>397</v>
      </c>
      <c r="B354" s="1">
        <v>45315</v>
      </c>
      <c r="C354" t="s">
        <v>13</v>
      </c>
      <c r="D354" t="s">
        <v>14</v>
      </c>
      <c r="E354" t="s">
        <v>15</v>
      </c>
      <c r="F354" t="s">
        <v>33</v>
      </c>
      <c r="G354">
        <v>6750000</v>
      </c>
      <c r="H354">
        <v>6750000</v>
      </c>
      <c r="I354" t="s">
        <v>20</v>
      </c>
      <c r="J354" s="1">
        <v>45978</v>
      </c>
      <c r="K354">
        <v>8500000</v>
      </c>
      <c r="L354" t="s">
        <v>42</v>
      </c>
      <c r="M354">
        <v>0</v>
      </c>
      <c r="N354" t="s">
        <v>480</v>
      </c>
      <c r="O354">
        <v>2021</v>
      </c>
      <c r="P354" t="s">
        <v>494</v>
      </c>
    </row>
    <row r="355" spans="1:16" x14ac:dyDescent="0.3">
      <c r="A355" t="s">
        <v>398</v>
      </c>
      <c r="B355" s="1">
        <v>45377</v>
      </c>
      <c r="C355" t="s">
        <v>13</v>
      </c>
      <c r="D355" t="s">
        <v>14</v>
      </c>
      <c r="E355" t="s">
        <v>15</v>
      </c>
      <c r="F355" t="s">
        <v>51</v>
      </c>
      <c r="G355">
        <v>12850000</v>
      </c>
      <c r="H355">
        <v>12850000</v>
      </c>
      <c r="I355" t="s">
        <v>20</v>
      </c>
      <c r="J355" s="1">
        <v>45725</v>
      </c>
      <c r="K355">
        <v>8500000</v>
      </c>
      <c r="L355" t="s">
        <v>476</v>
      </c>
      <c r="M355">
        <v>0</v>
      </c>
      <c r="N355" t="s">
        <v>480</v>
      </c>
      <c r="O355">
        <v>2021</v>
      </c>
      <c r="P355" t="s">
        <v>494</v>
      </c>
    </row>
    <row r="356" spans="1:16" x14ac:dyDescent="0.3">
      <c r="A356" t="s">
        <v>399</v>
      </c>
      <c r="B356" s="1">
        <v>45508</v>
      </c>
      <c r="C356" t="s">
        <v>22</v>
      </c>
      <c r="D356" t="s">
        <v>14</v>
      </c>
      <c r="E356" t="s">
        <v>15</v>
      </c>
      <c r="F356" t="s">
        <v>16</v>
      </c>
      <c r="G356">
        <v>4250000</v>
      </c>
      <c r="H356">
        <v>4250000</v>
      </c>
      <c r="I356" t="s">
        <v>20</v>
      </c>
      <c r="J356" s="1">
        <v>45932</v>
      </c>
      <c r="K356">
        <v>8000000</v>
      </c>
      <c r="L356" t="s">
        <v>476</v>
      </c>
      <c r="M356">
        <v>0</v>
      </c>
      <c r="N356" t="s">
        <v>480</v>
      </c>
      <c r="O356">
        <v>2021</v>
      </c>
      <c r="P356" t="s">
        <v>494</v>
      </c>
    </row>
    <row r="357" spans="1:16" x14ac:dyDescent="0.3">
      <c r="A357" t="s">
        <v>400</v>
      </c>
      <c r="B357" s="1">
        <v>45438</v>
      </c>
      <c r="C357" t="s">
        <v>13</v>
      </c>
      <c r="D357" t="s">
        <v>14</v>
      </c>
      <c r="E357" t="s">
        <v>15</v>
      </c>
      <c r="F357" t="s">
        <v>51</v>
      </c>
      <c r="G357">
        <v>13050000</v>
      </c>
      <c r="H357">
        <v>13050000</v>
      </c>
      <c r="I357" t="s">
        <v>20</v>
      </c>
      <c r="J357" s="1">
        <v>46009</v>
      </c>
      <c r="K357">
        <v>8500000</v>
      </c>
      <c r="L357" t="s">
        <v>476</v>
      </c>
      <c r="M357">
        <v>0</v>
      </c>
      <c r="N357" t="s">
        <v>480</v>
      </c>
      <c r="O357">
        <v>2021</v>
      </c>
      <c r="P357" t="s">
        <v>494</v>
      </c>
    </row>
    <row r="358" spans="1:16" x14ac:dyDescent="0.3">
      <c r="A358" t="s">
        <v>401</v>
      </c>
      <c r="B358" s="1">
        <v>45485</v>
      </c>
      <c r="C358" t="s">
        <v>35</v>
      </c>
      <c r="D358" t="s">
        <v>23</v>
      </c>
      <c r="E358" t="s">
        <v>24</v>
      </c>
      <c r="F358" t="s">
        <v>16</v>
      </c>
      <c r="G358">
        <v>4350000</v>
      </c>
      <c r="H358">
        <v>0</v>
      </c>
      <c r="I358" t="s">
        <v>17</v>
      </c>
      <c r="J358" s="1">
        <v>45666</v>
      </c>
      <c r="K358">
        <v>9000000</v>
      </c>
      <c r="L358" t="s">
        <v>476</v>
      </c>
      <c r="M358">
        <v>0</v>
      </c>
      <c r="N358" t="s">
        <v>481</v>
      </c>
      <c r="O358">
        <v>2022</v>
      </c>
      <c r="P358" t="s">
        <v>476</v>
      </c>
    </row>
    <row r="359" spans="1:16" x14ac:dyDescent="0.3">
      <c r="A359" t="s">
        <v>402</v>
      </c>
      <c r="B359" s="1">
        <v>45419</v>
      </c>
      <c r="C359" t="s">
        <v>22</v>
      </c>
      <c r="D359" t="s">
        <v>14</v>
      </c>
      <c r="E359" t="s">
        <v>15</v>
      </c>
      <c r="F359" t="s">
        <v>16</v>
      </c>
      <c r="G359">
        <v>5100000</v>
      </c>
      <c r="H359">
        <v>1900000</v>
      </c>
      <c r="I359" t="s">
        <v>26</v>
      </c>
      <c r="J359" s="1">
        <v>45719</v>
      </c>
      <c r="K359">
        <v>8000000</v>
      </c>
      <c r="L359" t="s">
        <v>18</v>
      </c>
      <c r="M359">
        <v>692</v>
      </c>
      <c r="N359" t="s">
        <v>480</v>
      </c>
      <c r="O359">
        <v>2021</v>
      </c>
      <c r="P359" t="s">
        <v>495</v>
      </c>
    </row>
    <row r="360" spans="1:16" x14ac:dyDescent="0.3">
      <c r="A360" t="s">
        <v>403</v>
      </c>
      <c r="B360" s="1">
        <v>45653</v>
      </c>
      <c r="C360" t="s">
        <v>35</v>
      </c>
      <c r="D360" t="s">
        <v>23</v>
      </c>
      <c r="E360" t="s">
        <v>24</v>
      </c>
      <c r="F360" t="s">
        <v>16</v>
      </c>
      <c r="G360">
        <v>4500000</v>
      </c>
      <c r="H360">
        <v>1200000</v>
      </c>
      <c r="I360" t="s">
        <v>26</v>
      </c>
      <c r="J360" s="1">
        <v>46225</v>
      </c>
      <c r="K360">
        <v>9000000</v>
      </c>
      <c r="L360" t="s">
        <v>29</v>
      </c>
      <c r="M360">
        <v>458</v>
      </c>
      <c r="N360" t="s">
        <v>481</v>
      </c>
      <c r="O360">
        <v>2022</v>
      </c>
      <c r="P360" t="s">
        <v>495</v>
      </c>
    </row>
    <row r="361" spans="1:16" x14ac:dyDescent="0.3">
      <c r="A361" t="s">
        <v>405</v>
      </c>
      <c r="B361" s="1">
        <v>45431</v>
      </c>
      <c r="C361" t="s">
        <v>28</v>
      </c>
      <c r="D361" t="s">
        <v>14</v>
      </c>
      <c r="E361" t="s">
        <v>15</v>
      </c>
      <c r="F361" t="s">
        <v>16</v>
      </c>
      <c r="G361">
        <v>4950000</v>
      </c>
      <c r="H361">
        <v>1050000</v>
      </c>
      <c r="I361" t="s">
        <v>26</v>
      </c>
      <c r="J361" s="1">
        <v>46122</v>
      </c>
      <c r="K361">
        <v>7000000</v>
      </c>
      <c r="L361" t="s">
        <v>52</v>
      </c>
      <c r="M361">
        <v>680</v>
      </c>
      <c r="N361" t="s">
        <v>480</v>
      </c>
      <c r="O361">
        <v>2021</v>
      </c>
      <c r="P361" t="s">
        <v>495</v>
      </c>
    </row>
    <row r="362" spans="1:16" x14ac:dyDescent="0.3">
      <c r="A362" t="s">
        <v>406</v>
      </c>
      <c r="B362" s="1">
        <v>45428</v>
      </c>
      <c r="C362" t="s">
        <v>31</v>
      </c>
      <c r="D362" t="s">
        <v>14</v>
      </c>
      <c r="E362" t="s">
        <v>15</v>
      </c>
      <c r="F362" t="s">
        <v>51</v>
      </c>
      <c r="G362">
        <v>12100000</v>
      </c>
      <c r="H362">
        <v>3950000</v>
      </c>
      <c r="I362" t="s">
        <v>26</v>
      </c>
      <c r="J362" s="1">
        <v>46190</v>
      </c>
      <c r="K362">
        <v>7500000</v>
      </c>
      <c r="L362" t="s">
        <v>18</v>
      </c>
      <c r="M362">
        <v>683</v>
      </c>
      <c r="N362" t="s">
        <v>480</v>
      </c>
      <c r="O362">
        <v>2021</v>
      </c>
      <c r="P362" t="s">
        <v>495</v>
      </c>
    </row>
    <row r="363" spans="1:16" x14ac:dyDescent="0.3">
      <c r="A363" t="s">
        <v>407</v>
      </c>
      <c r="B363" s="1">
        <v>45373</v>
      </c>
      <c r="C363" t="s">
        <v>22</v>
      </c>
      <c r="D363" t="s">
        <v>14</v>
      </c>
      <c r="E363" t="s">
        <v>15</v>
      </c>
      <c r="F363" t="s">
        <v>51</v>
      </c>
      <c r="G363">
        <v>13450000</v>
      </c>
      <c r="H363">
        <v>13450000</v>
      </c>
      <c r="I363" t="s">
        <v>20</v>
      </c>
      <c r="J363" s="1">
        <v>45757</v>
      </c>
      <c r="K363">
        <v>8000000</v>
      </c>
      <c r="L363" t="s">
        <v>476</v>
      </c>
      <c r="M363">
        <v>0</v>
      </c>
      <c r="N363" t="s">
        <v>480</v>
      </c>
      <c r="O363">
        <v>2021</v>
      </c>
      <c r="P363" t="s">
        <v>494</v>
      </c>
    </row>
    <row r="364" spans="1:16" x14ac:dyDescent="0.3">
      <c r="A364" t="s">
        <v>408</v>
      </c>
      <c r="B364" s="1">
        <v>45490</v>
      </c>
      <c r="C364" t="s">
        <v>13</v>
      </c>
      <c r="D364" t="s">
        <v>23</v>
      </c>
      <c r="E364" t="s">
        <v>24</v>
      </c>
      <c r="F364" t="s">
        <v>16</v>
      </c>
      <c r="G364">
        <v>4400000</v>
      </c>
      <c r="H364">
        <v>1300000</v>
      </c>
      <c r="I364" t="s">
        <v>26</v>
      </c>
      <c r="J364" s="1">
        <v>46380</v>
      </c>
      <c r="K364">
        <v>8500000</v>
      </c>
      <c r="L364" t="s">
        <v>52</v>
      </c>
      <c r="M364">
        <v>621</v>
      </c>
      <c r="N364" t="s">
        <v>481</v>
      </c>
      <c r="O364">
        <v>2022</v>
      </c>
      <c r="P364" t="s">
        <v>495</v>
      </c>
    </row>
    <row r="365" spans="1:16" x14ac:dyDescent="0.3">
      <c r="A365" t="s">
        <v>409</v>
      </c>
      <c r="B365" s="1">
        <v>45361</v>
      </c>
      <c r="C365" t="s">
        <v>35</v>
      </c>
      <c r="D365" t="s">
        <v>23</v>
      </c>
      <c r="E365" t="s">
        <v>24</v>
      </c>
      <c r="F365" t="s">
        <v>16</v>
      </c>
      <c r="G365">
        <v>5750000</v>
      </c>
      <c r="H365">
        <v>1250000</v>
      </c>
      <c r="I365" t="s">
        <v>26</v>
      </c>
      <c r="J365" s="1">
        <v>45878</v>
      </c>
      <c r="K365">
        <v>9000000</v>
      </c>
      <c r="L365" t="s">
        <v>476</v>
      </c>
      <c r="M365">
        <v>750</v>
      </c>
      <c r="N365" t="s">
        <v>481</v>
      </c>
      <c r="O365">
        <v>2022</v>
      </c>
      <c r="P365" t="s">
        <v>495</v>
      </c>
    </row>
    <row r="366" spans="1:16" x14ac:dyDescent="0.3">
      <c r="A366" t="s">
        <v>410</v>
      </c>
      <c r="B366" s="1">
        <v>45476</v>
      </c>
      <c r="C366" t="s">
        <v>28</v>
      </c>
      <c r="D366" t="s">
        <v>23</v>
      </c>
      <c r="E366" t="s">
        <v>24</v>
      </c>
      <c r="F366" t="s">
        <v>51</v>
      </c>
      <c r="G366">
        <v>10600000</v>
      </c>
      <c r="H366">
        <v>3850000</v>
      </c>
      <c r="I366" t="s">
        <v>26</v>
      </c>
      <c r="J366" s="1">
        <v>45723</v>
      </c>
      <c r="K366">
        <v>7000000</v>
      </c>
      <c r="L366" t="s">
        <v>18</v>
      </c>
      <c r="M366">
        <v>635</v>
      </c>
      <c r="N366" t="s">
        <v>481</v>
      </c>
      <c r="O366">
        <v>2022</v>
      </c>
      <c r="P366" t="s">
        <v>495</v>
      </c>
    </row>
    <row r="367" spans="1:16" x14ac:dyDescent="0.3">
      <c r="A367" t="s">
        <v>411</v>
      </c>
      <c r="B367" s="1">
        <v>45402</v>
      </c>
      <c r="C367" t="s">
        <v>35</v>
      </c>
      <c r="D367" t="s">
        <v>14</v>
      </c>
      <c r="E367" t="s">
        <v>15</v>
      </c>
      <c r="F367" t="s">
        <v>16</v>
      </c>
      <c r="G367">
        <v>4850000</v>
      </c>
      <c r="H367">
        <v>550000</v>
      </c>
      <c r="I367" t="s">
        <v>26</v>
      </c>
      <c r="J367" s="1">
        <v>45888</v>
      </c>
      <c r="K367">
        <v>9000000</v>
      </c>
      <c r="L367" t="s">
        <v>18</v>
      </c>
      <c r="M367">
        <v>709</v>
      </c>
      <c r="N367" t="s">
        <v>480</v>
      </c>
      <c r="O367">
        <v>2021</v>
      </c>
      <c r="P367" t="s">
        <v>495</v>
      </c>
    </row>
    <row r="368" spans="1:16" x14ac:dyDescent="0.3">
      <c r="A368" t="s">
        <v>412</v>
      </c>
      <c r="B368" s="1">
        <v>45593</v>
      </c>
      <c r="C368" t="s">
        <v>13</v>
      </c>
      <c r="D368" t="s">
        <v>23</v>
      </c>
      <c r="E368" t="s">
        <v>24</v>
      </c>
      <c r="F368" t="s">
        <v>51</v>
      </c>
      <c r="G368">
        <v>12100000</v>
      </c>
      <c r="H368">
        <v>0</v>
      </c>
      <c r="I368" t="s">
        <v>17</v>
      </c>
      <c r="J368" s="1">
        <v>46120</v>
      </c>
      <c r="K368">
        <v>8500000</v>
      </c>
      <c r="L368" t="s">
        <v>29</v>
      </c>
      <c r="M368">
        <v>0</v>
      </c>
      <c r="N368" t="s">
        <v>481</v>
      </c>
      <c r="O368">
        <v>2022</v>
      </c>
      <c r="P368" t="s">
        <v>476</v>
      </c>
    </row>
    <row r="369" spans="1:16" x14ac:dyDescent="0.3">
      <c r="A369" t="s">
        <v>413</v>
      </c>
      <c r="B369" s="1">
        <v>45555</v>
      </c>
      <c r="C369" t="s">
        <v>13</v>
      </c>
      <c r="D369" t="s">
        <v>23</v>
      </c>
      <c r="E369" t="s">
        <v>24</v>
      </c>
      <c r="F369" t="s">
        <v>16</v>
      </c>
      <c r="G369">
        <v>4050000</v>
      </c>
      <c r="H369">
        <v>4050000</v>
      </c>
      <c r="I369" t="s">
        <v>20</v>
      </c>
      <c r="J369" s="1">
        <v>46137</v>
      </c>
      <c r="K369">
        <v>8500000</v>
      </c>
      <c r="L369" t="s">
        <v>476</v>
      </c>
      <c r="M369">
        <v>0</v>
      </c>
      <c r="N369" t="s">
        <v>481</v>
      </c>
      <c r="O369">
        <v>2022</v>
      </c>
      <c r="P369" t="s">
        <v>494</v>
      </c>
    </row>
    <row r="370" spans="1:16" x14ac:dyDescent="0.3">
      <c r="A370" t="s">
        <v>414</v>
      </c>
      <c r="B370" s="1">
        <v>45305</v>
      </c>
      <c r="C370" t="s">
        <v>28</v>
      </c>
      <c r="D370" t="s">
        <v>44</v>
      </c>
      <c r="E370" t="s">
        <v>45</v>
      </c>
      <c r="F370" t="s">
        <v>16</v>
      </c>
      <c r="G370">
        <v>4050000</v>
      </c>
      <c r="H370">
        <v>4050000</v>
      </c>
      <c r="I370" t="s">
        <v>20</v>
      </c>
      <c r="J370" s="1">
        <v>45764</v>
      </c>
      <c r="K370">
        <v>7000000</v>
      </c>
      <c r="L370" t="s">
        <v>18</v>
      </c>
      <c r="M370">
        <v>0</v>
      </c>
      <c r="N370" t="s">
        <v>482</v>
      </c>
      <c r="O370">
        <v>2023</v>
      </c>
      <c r="P370" t="s">
        <v>494</v>
      </c>
    </row>
    <row r="371" spans="1:16" x14ac:dyDescent="0.3">
      <c r="A371" t="s">
        <v>415</v>
      </c>
      <c r="B371" s="1">
        <v>45305</v>
      </c>
      <c r="C371" t="s">
        <v>13</v>
      </c>
      <c r="D371" t="s">
        <v>14</v>
      </c>
      <c r="E371" t="s">
        <v>15</v>
      </c>
      <c r="F371" t="s">
        <v>25</v>
      </c>
      <c r="G371">
        <v>3150000</v>
      </c>
      <c r="H371">
        <v>450000</v>
      </c>
      <c r="I371" t="s">
        <v>26</v>
      </c>
      <c r="J371" s="1">
        <v>45957</v>
      </c>
      <c r="K371">
        <v>8500000</v>
      </c>
      <c r="L371" t="s">
        <v>52</v>
      </c>
      <c r="M371">
        <v>806</v>
      </c>
      <c r="N371" t="s">
        <v>480</v>
      </c>
      <c r="O371">
        <v>2021</v>
      </c>
      <c r="P371" t="s">
        <v>495</v>
      </c>
    </row>
    <row r="372" spans="1:16" x14ac:dyDescent="0.3">
      <c r="A372" t="s">
        <v>416</v>
      </c>
      <c r="B372" s="1">
        <v>45460</v>
      </c>
      <c r="C372" t="s">
        <v>28</v>
      </c>
      <c r="D372" t="s">
        <v>23</v>
      </c>
      <c r="E372" t="s">
        <v>24</v>
      </c>
      <c r="F372" t="s">
        <v>33</v>
      </c>
      <c r="G372">
        <v>8550000</v>
      </c>
      <c r="H372">
        <v>950000</v>
      </c>
      <c r="I372" t="s">
        <v>26</v>
      </c>
      <c r="J372" s="1">
        <v>45710</v>
      </c>
      <c r="K372">
        <v>7000000</v>
      </c>
      <c r="L372" t="s">
        <v>29</v>
      </c>
      <c r="M372">
        <v>651</v>
      </c>
      <c r="N372" t="s">
        <v>481</v>
      </c>
      <c r="O372">
        <v>2022</v>
      </c>
      <c r="P372" t="s">
        <v>495</v>
      </c>
    </row>
    <row r="373" spans="1:16" x14ac:dyDescent="0.3">
      <c r="A373" t="s">
        <v>417</v>
      </c>
      <c r="B373" s="1">
        <v>45422</v>
      </c>
      <c r="C373" t="s">
        <v>22</v>
      </c>
      <c r="D373" t="s">
        <v>14</v>
      </c>
      <c r="E373" t="s">
        <v>15</v>
      </c>
      <c r="F373" t="s">
        <v>33</v>
      </c>
      <c r="G373">
        <v>8750000</v>
      </c>
      <c r="H373">
        <v>0</v>
      </c>
      <c r="I373" t="s">
        <v>17</v>
      </c>
      <c r="J373" s="1">
        <v>46288</v>
      </c>
      <c r="K373">
        <v>8000000</v>
      </c>
      <c r="L373" t="s">
        <v>29</v>
      </c>
      <c r="M373">
        <v>0</v>
      </c>
      <c r="N373" t="s">
        <v>480</v>
      </c>
      <c r="O373">
        <v>2021</v>
      </c>
      <c r="P373" t="s">
        <v>476</v>
      </c>
    </row>
    <row r="374" spans="1:16" x14ac:dyDescent="0.3">
      <c r="A374" t="s">
        <v>418</v>
      </c>
      <c r="B374" s="1">
        <v>45511</v>
      </c>
      <c r="C374" t="s">
        <v>22</v>
      </c>
      <c r="D374" t="s">
        <v>14</v>
      </c>
      <c r="E374" t="s">
        <v>15</v>
      </c>
      <c r="F374" t="s">
        <v>16</v>
      </c>
      <c r="G374">
        <v>5000000</v>
      </c>
      <c r="H374">
        <v>5000000</v>
      </c>
      <c r="I374" t="s">
        <v>20</v>
      </c>
      <c r="J374" s="1">
        <v>45826</v>
      </c>
      <c r="K374">
        <v>8000000</v>
      </c>
      <c r="L374" t="s">
        <v>29</v>
      </c>
      <c r="M374">
        <v>0</v>
      </c>
      <c r="N374" t="s">
        <v>480</v>
      </c>
      <c r="O374">
        <v>2021</v>
      </c>
      <c r="P374" t="s">
        <v>494</v>
      </c>
    </row>
    <row r="375" spans="1:16" x14ac:dyDescent="0.3">
      <c r="A375" t="s">
        <v>419</v>
      </c>
      <c r="B375" s="1">
        <v>45363</v>
      </c>
      <c r="C375" t="s">
        <v>31</v>
      </c>
      <c r="D375" t="s">
        <v>14</v>
      </c>
      <c r="E375" t="s">
        <v>15</v>
      </c>
      <c r="F375" t="s">
        <v>16</v>
      </c>
      <c r="G375">
        <v>5150000</v>
      </c>
      <c r="H375">
        <v>1450000</v>
      </c>
      <c r="I375" t="s">
        <v>26</v>
      </c>
      <c r="J375" s="1">
        <v>46165</v>
      </c>
      <c r="K375">
        <v>7500000</v>
      </c>
      <c r="L375" t="s">
        <v>18</v>
      </c>
      <c r="M375">
        <v>748</v>
      </c>
      <c r="N375" t="s">
        <v>480</v>
      </c>
      <c r="O375">
        <v>2021</v>
      </c>
      <c r="P375" t="s">
        <v>495</v>
      </c>
    </row>
    <row r="376" spans="1:16" x14ac:dyDescent="0.3">
      <c r="A376" t="s">
        <v>420</v>
      </c>
      <c r="B376" s="1">
        <v>45461</v>
      </c>
      <c r="C376" t="s">
        <v>31</v>
      </c>
      <c r="D376" t="s">
        <v>44</v>
      </c>
      <c r="E376" t="s">
        <v>45</v>
      </c>
      <c r="F376" t="s">
        <v>16</v>
      </c>
      <c r="G376">
        <v>5500000</v>
      </c>
      <c r="H376">
        <v>5500000</v>
      </c>
      <c r="I376" t="s">
        <v>20</v>
      </c>
      <c r="J376" s="1">
        <v>45655</v>
      </c>
      <c r="K376">
        <v>7500000</v>
      </c>
      <c r="L376" t="s">
        <v>40</v>
      </c>
      <c r="M376">
        <v>0</v>
      </c>
      <c r="N376" t="s">
        <v>482</v>
      </c>
      <c r="O376">
        <v>2023</v>
      </c>
      <c r="P376" t="s">
        <v>494</v>
      </c>
    </row>
    <row r="377" spans="1:16" x14ac:dyDescent="0.3">
      <c r="A377" t="s">
        <v>421</v>
      </c>
      <c r="B377" s="1">
        <v>45446</v>
      </c>
      <c r="C377" t="s">
        <v>13</v>
      </c>
      <c r="D377" t="s">
        <v>14</v>
      </c>
      <c r="E377" t="s">
        <v>15</v>
      </c>
      <c r="F377" t="s">
        <v>25</v>
      </c>
      <c r="G377">
        <v>3000000</v>
      </c>
      <c r="H377">
        <v>700000</v>
      </c>
      <c r="I377" t="s">
        <v>26</v>
      </c>
      <c r="J377" s="1">
        <v>45736</v>
      </c>
      <c r="K377">
        <v>8500000</v>
      </c>
      <c r="L377" t="s">
        <v>476</v>
      </c>
      <c r="M377">
        <v>665</v>
      </c>
      <c r="N377" t="s">
        <v>480</v>
      </c>
      <c r="O377">
        <v>2021</v>
      </c>
      <c r="P377" t="s">
        <v>495</v>
      </c>
    </row>
    <row r="378" spans="1:16" x14ac:dyDescent="0.3">
      <c r="A378" t="s">
        <v>422</v>
      </c>
      <c r="B378" s="1">
        <v>45598</v>
      </c>
      <c r="C378" t="s">
        <v>22</v>
      </c>
      <c r="D378" t="s">
        <v>23</v>
      </c>
      <c r="E378" t="s">
        <v>24</v>
      </c>
      <c r="F378" t="s">
        <v>16</v>
      </c>
      <c r="G378">
        <v>5600000</v>
      </c>
      <c r="H378">
        <v>5600000</v>
      </c>
      <c r="I378" t="s">
        <v>20</v>
      </c>
      <c r="J378" s="1">
        <v>46039</v>
      </c>
      <c r="K378">
        <v>8000000</v>
      </c>
      <c r="L378" t="s">
        <v>18</v>
      </c>
      <c r="M378">
        <v>0</v>
      </c>
      <c r="N378" t="s">
        <v>481</v>
      </c>
      <c r="O378">
        <v>2022</v>
      </c>
      <c r="P378" t="s">
        <v>494</v>
      </c>
    </row>
    <row r="379" spans="1:16" x14ac:dyDescent="0.3">
      <c r="A379" t="s">
        <v>423</v>
      </c>
      <c r="B379" s="1">
        <v>45338</v>
      </c>
      <c r="C379" t="s">
        <v>28</v>
      </c>
      <c r="D379" t="s">
        <v>23</v>
      </c>
      <c r="E379" t="s">
        <v>24</v>
      </c>
      <c r="F379" t="s">
        <v>16</v>
      </c>
      <c r="G379">
        <v>4700000</v>
      </c>
      <c r="H379">
        <v>4700000</v>
      </c>
      <c r="I379" t="s">
        <v>20</v>
      </c>
      <c r="J379" s="1">
        <v>45896</v>
      </c>
      <c r="K379">
        <v>7000000</v>
      </c>
      <c r="L379" t="s">
        <v>18</v>
      </c>
      <c r="M379">
        <v>0</v>
      </c>
      <c r="N379" t="s">
        <v>481</v>
      </c>
      <c r="O379">
        <v>2022</v>
      </c>
      <c r="P379" t="s">
        <v>494</v>
      </c>
    </row>
    <row r="380" spans="1:16" x14ac:dyDescent="0.3">
      <c r="A380" t="s">
        <v>424</v>
      </c>
      <c r="B380" s="1">
        <v>45467</v>
      </c>
      <c r="C380" t="s">
        <v>22</v>
      </c>
      <c r="D380" t="s">
        <v>14</v>
      </c>
      <c r="E380" t="s">
        <v>15</v>
      </c>
      <c r="F380" t="s">
        <v>25</v>
      </c>
      <c r="G380">
        <v>2750000</v>
      </c>
      <c r="H380">
        <v>0</v>
      </c>
      <c r="I380" t="s">
        <v>17</v>
      </c>
      <c r="J380" s="1">
        <v>46095</v>
      </c>
      <c r="K380">
        <v>8000000</v>
      </c>
      <c r="L380" t="s">
        <v>476</v>
      </c>
      <c r="M380">
        <v>0</v>
      </c>
      <c r="N380" t="s">
        <v>480</v>
      </c>
      <c r="O380">
        <v>2021</v>
      </c>
      <c r="P380" t="s">
        <v>476</v>
      </c>
    </row>
    <row r="381" spans="1:16" x14ac:dyDescent="0.3">
      <c r="A381" t="s">
        <v>425</v>
      </c>
      <c r="B381" s="1">
        <v>45429</v>
      </c>
      <c r="C381" t="s">
        <v>22</v>
      </c>
      <c r="D381" t="s">
        <v>23</v>
      </c>
      <c r="E381" t="s">
        <v>24</v>
      </c>
      <c r="F381" t="s">
        <v>16</v>
      </c>
      <c r="G381">
        <v>5350000</v>
      </c>
      <c r="H381">
        <v>1150000</v>
      </c>
      <c r="I381" t="s">
        <v>26</v>
      </c>
      <c r="J381" s="1">
        <v>46267</v>
      </c>
      <c r="K381">
        <v>8000000</v>
      </c>
      <c r="L381" t="s">
        <v>476</v>
      </c>
      <c r="M381">
        <v>682</v>
      </c>
      <c r="N381" t="s">
        <v>481</v>
      </c>
      <c r="O381">
        <v>2022</v>
      </c>
      <c r="P381" t="s">
        <v>495</v>
      </c>
    </row>
    <row r="382" spans="1:16" x14ac:dyDescent="0.3">
      <c r="A382" t="s">
        <v>426</v>
      </c>
      <c r="B382" s="1">
        <v>45607</v>
      </c>
      <c r="C382" t="s">
        <v>22</v>
      </c>
      <c r="D382" t="s">
        <v>14</v>
      </c>
      <c r="E382" t="s">
        <v>15</v>
      </c>
      <c r="F382" t="s">
        <v>16</v>
      </c>
      <c r="G382">
        <v>4450000</v>
      </c>
      <c r="H382">
        <v>4450000</v>
      </c>
      <c r="I382" t="s">
        <v>20</v>
      </c>
      <c r="J382" s="1">
        <v>46348</v>
      </c>
      <c r="K382">
        <v>8000000</v>
      </c>
      <c r="L382" t="s">
        <v>476</v>
      </c>
      <c r="M382">
        <v>0</v>
      </c>
      <c r="N382" t="s">
        <v>480</v>
      </c>
      <c r="O382">
        <v>2021</v>
      </c>
      <c r="P382" t="s">
        <v>494</v>
      </c>
    </row>
    <row r="383" spans="1:16" x14ac:dyDescent="0.3">
      <c r="A383" t="s">
        <v>427</v>
      </c>
      <c r="B383" s="1">
        <v>45524</v>
      </c>
      <c r="C383" t="s">
        <v>22</v>
      </c>
      <c r="D383" t="s">
        <v>44</v>
      </c>
      <c r="E383" t="s">
        <v>45</v>
      </c>
      <c r="F383" t="s">
        <v>33</v>
      </c>
      <c r="G383">
        <v>6600000</v>
      </c>
      <c r="H383">
        <v>6600000</v>
      </c>
      <c r="I383" t="s">
        <v>20</v>
      </c>
      <c r="J383" s="1">
        <v>46045</v>
      </c>
      <c r="K383">
        <v>8000000</v>
      </c>
      <c r="L383" t="s">
        <v>29</v>
      </c>
      <c r="M383">
        <v>0</v>
      </c>
      <c r="N383" t="s">
        <v>482</v>
      </c>
      <c r="O383">
        <v>2023</v>
      </c>
      <c r="P383" t="s">
        <v>494</v>
      </c>
    </row>
    <row r="384" spans="1:16" x14ac:dyDescent="0.3">
      <c r="A384" t="s">
        <v>428</v>
      </c>
      <c r="B384" s="1">
        <v>45468</v>
      </c>
      <c r="C384" t="s">
        <v>31</v>
      </c>
      <c r="D384" t="s">
        <v>23</v>
      </c>
      <c r="E384" t="s">
        <v>24</v>
      </c>
      <c r="F384" t="s">
        <v>33</v>
      </c>
      <c r="G384">
        <v>6850000</v>
      </c>
      <c r="H384">
        <v>6850000</v>
      </c>
      <c r="I384" t="s">
        <v>20</v>
      </c>
      <c r="J384" s="1">
        <v>46100</v>
      </c>
      <c r="K384">
        <v>7500000</v>
      </c>
      <c r="L384" t="s">
        <v>18</v>
      </c>
      <c r="M384">
        <v>0</v>
      </c>
      <c r="N384" t="s">
        <v>481</v>
      </c>
      <c r="O384">
        <v>2022</v>
      </c>
      <c r="P384" t="s">
        <v>494</v>
      </c>
    </row>
    <row r="385" spans="1:16" x14ac:dyDescent="0.3">
      <c r="A385" t="s">
        <v>429</v>
      </c>
      <c r="B385" s="1">
        <v>45522</v>
      </c>
      <c r="C385" t="s">
        <v>13</v>
      </c>
      <c r="D385" t="s">
        <v>14</v>
      </c>
      <c r="E385" t="s">
        <v>15</v>
      </c>
      <c r="F385" t="s">
        <v>33</v>
      </c>
      <c r="G385">
        <v>8000000</v>
      </c>
      <c r="H385">
        <v>8000000</v>
      </c>
      <c r="I385" t="s">
        <v>20</v>
      </c>
      <c r="J385" s="1">
        <v>46164</v>
      </c>
      <c r="K385">
        <v>8500000</v>
      </c>
      <c r="L385" t="s">
        <v>18</v>
      </c>
      <c r="M385">
        <v>0</v>
      </c>
      <c r="N385" t="s">
        <v>480</v>
      </c>
      <c r="O385">
        <v>2021</v>
      </c>
      <c r="P385" t="s">
        <v>494</v>
      </c>
    </row>
    <row r="386" spans="1:16" x14ac:dyDescent="0.3">
      <c r="A386" t="s">
        <v>430</v>
      </c>
      <c r="B386" s="1">
        <v>45508</v>
      </c>
      <c r="C386" t="s">
        <v>13</v>
      </c>
      <c r="D386" t="s">
        <v>14</v>
      </c>
      <c r="E386" t="s">
        <v>15</v>
      </c>
      <c r="F386" t="s">
        <v>33</v>
      </c>
      <c r="G386">
        <v>6900000</v>
      </c>
      <c r="H386">
        <v>6900000</v>
      </c>
      <c r="I386" t="s">
        <v>20</v>
      </c>
      <c r="J386" s="1">
        <v>46100</v>
      </c>
      <c r="K386">
        <v>8500000</v>
      </c>
      <c r="L386" t="s">
        <v>40</v>
      </c>
      <c r="M386">
        <v>0</v>
      </c>
      <c r="N386" t="s">
        <v>480</v>
      </c>
      <c r="O386">
        <v>2021</v>
      </c>
      <c r="P386" t="s">
        <v>494</v>
      </c>
    </row>
    <row r="387" spans="1:16" x14ac:dyDescent="0.3">
      <c r="A387" t="s">
        <v>431</v>
      </c>
      <c r="B387" s="1">
        <v>45527</v>
      </c>
      <c r="C387" t="s">
        <v>35</v>
      </c>
      <c r="D387" t="s">
        <v>23</v>
      </c>
      <c r="E387" t="s">
        <v>24</v>
      </c>
      <c r="F387" t="s">
        <v>16</v>
      </c>
      <c r="G387">
        <v>5400000</v>
      </c>
      <c r="H387">
        <v>800000</v>
      </c>
      <c r="I387" t="s">
        <v>26</v>
      </c>
      <c r="J387" s="1">
        <v>46159</v>
      </c>
      <c r="K387">
        <v>9000000</v>
      </c>
      <c r="L387" t="s">
        <v>40</v>
      </c>
      <c r="M387">
        <v>584</v>
      </c>
      <c r="N387" t="s">
        <v>481</v>
      </c>
      <c r="O387">
        <v>2022</v>
      </c>
      <c r="P387" t="s">
        <v>495</v>
      </c>
    </row>
    <row r="388" spans="1:16" x14ac:dyDescent="0.3">
      <c r="A388" t="s">
        <v>432</v>
      </c>
      <c r="B388" s="1">
        <v>45487</v>
      </c>
      <c r="C388" t="s">
        <v>31</v>
      </c>
      <c r="D388" t="s">
        <v>14</v>
      </c>
      <c r="E388" t="s">
        <v>15</v>
      </c>
      <c r="F388" t="s">
        <v>25</v>
      </c>
      <c r="G388">
        <v>3050000</v>
      </c>
      <c r="H388">
        <v>300000</v>
      </c>
      <c r="I388" t="s">
        <v>26</v>
      </c>
      <c r="J388" s="1">
        <v>46332</v>
      </c>
      <c r="K388">
        <v>7500000</v>
      </c>
      <c r="L388" t="s">
        <v>52</v>
      </c>
      <c r="M388">
        <v>624</v>
      </c>
      <c r="N388" t="s">
        <v>480</v>
      </c>
      <c r="O388">
        <v>2021</v>
      </c>
      <c r="P388" t="s">
        <v>495</v>
      </c>
    </row>
    <row r="389" spans="1:16" x14ac:dyDescent="0.3">
      <c r="A389" t="s">
        <v>433</v>
      </c>
      <c r="B389" s="1">
        <v>45594</v>
      </c>
      <c r="C389" t="s">
        <v>22</v>
      </c>
      <c r="D389" t="s">
        <v>14</v>
      </c>
      <c r="E389" t="s">
        <v>15</v>
      </c>
      <c r="F389" t="s">
        <v>16</v>
      </c>
      <c r="G389">
        <v>4950000</v>
      </c>
      <c r="H389">
        <v>550000</v>
      </c>
      <c r="I389" t="s">
        <v>26</v>
      </c>
      <c r="J389" s="1">
        <v>46151</v>
      </c>
      <c r="K389">
        <v>8000000</v>
      </c>
      <c r="L389" t="s">
        <v>18</v>
      </c>
      <c r="M389">
        <v>517</v>
      </c>
      <c r="N389" t="s">
        <v>480</v>
      </c>
      <c r="O389">
        <v>2021</v>
      </c>
      <c r="P389" t="s">
        <v>495</v>
      </c>
    </row>
    <row r="390" spans="1:16" x14ac:dyDescent="0.3">
      <c r="A390" t="s">
        <v>434</v>
      </c>
      <c r="B390" s="1">
        <v>45428</v>
      </c>
      <c r="C390" t="s">
        <v>22</v>
      </c>
      <c r="D390" t="s">
        <v>14</v>
      </c>
      <c r="E390" t="s">
        <v>15</v>
      </c>
      <c r="F390" t="s">
        <v>16</v>
      </c>
      <c r="G390">
        <v>5250000</v>
      </c>
      <c r="H390">
        <v>5250000</v>
      </c>
      <c r="I390" t="s">
        <v>20</v>
      </c>
      <c r="J390" s="1">
        <v>46166</v>
      </c>
      <c r="K390">
        <v>8000000</v>
      </c>
      <c r="L390" t="s">
        <v>18</v>
      </c>
      <c r="M390">
        <v>0</v>
      </c>
      <c r="N390" t="s">
        <v>480</v>
      </c>
      <c r="O390">
        <v>2021</v>
      </c>
      <c r="P390" t="s">
        <v>494</v>
      </c>
    </row>
    <row r="391" spans="1:16" x14ac:dyDescent="0.3">
      <c r="A391" t="s">
        <v>435</v>
      </c>
      <c r="B391" s="1">
        <v>45427</v>
      </c>
      <c r="C391" t="s">
        <v>35</v>
      </c>
      <c r="D391" t="s">
        <v>14</v>
      </c>
      <c r="E391" t="s">
        <v>15</v>
      </c>
      <c r="F391" t="s">
        <v>25</v>
      </c>
      <c r="G391">
        <v>2900000</v>
      </c>
      <c r="H391">
        <v>750000</v>
      </c>
      <c r="I391" t="s">
        <v>26</v>
      </c>
      <c r="J391" s="1">
        <v>46109</v>
      </c>
      <c r="K391">
        <v>9000000</v>
      </c>
      <c r="L391" t="s">
        <v>52</v>
      </c>
      <c r="M391">
        <v>684</v>
      </c>
      <c r="N391" t="s">
        <v>480</v>
      </c>
      <c r="O391">
        <v>2021</v>
      </c>
      <c r="P391" t="s">
        <v>495</v>
      </c>
    </row>
    <row r="392" spans="1:16" x14ac:dyDescent="0.3">
      <c r="A392" t="s">
        <v>436</v>
      </c>
      <c r="B392" s="1">
        <v>45330</v>
      </c>
      <c r="C392" t="s">
        <v>13</v>
      </c>
      <c r="D392" t="s">
        <v>14</v>
      </c>
      <c r="E392" t="s">
        <v>15</v>
      </c>
      <c r="F392" t="s">
        <v>25</v>
      </c>
      <c r="G392">
        <v>2650000</v>
      </c>
      <c r="H392">
        <v>800000</v>
      </c>
      <c r="I392" t="s">
        <v>26</v>
      </c>
      <c r="J392" s="1">
        <v>45958</v>
      </c>
      <c r="K392">
        <v>8500000</v>
      </c>
      <c r="L392" t="s">
        <v>42</v>
      </c>
      <c r="M392">
        <v>781</v>
      </c>
      <c r="N392" t="s">
        <v>480</v>
      </c>
      <c r="O392">
        <v>2021</v>
      </c>
      <c r="P392" t="s">
        <v>495</v>
      </c>
    </row>
    <row r="393" spans="1:16" x14ac:dyDescent="0.3">
      <c r="A393" t="s">
        <v>437</v>
      </c>
      <c r="B393" s="1">
        <v>45336</v>
      </c>
      <c r="C393" t="s">
        <v>22</v>
      </c>
      <c r="D393" t="s">
        <v>14</v>
      </c>
      <c r="E393" t="s">
        <v>15</v>
      </c>
      <c r="F393" t="s">
        <v>33</v>
      </c>
      <c r="G393">
        <v>8100000</v>
      </c>
      <c r="H393">
        <v>8100000</v>
      </c>
      <c r="I393" t="s">
        <v>20</v>
      </c>
      <c r="J393" s="1">
        <v>45955</v>
      </c>
      <c r="K393">
        <v>8000000</v>
      </c>
      <c r="L393" t="s">
        <v>40</v>
      </c>
      <c r="M393">
        <v>0</v>
      </c>
      <c r="N393" t="s">
        <v>480</v>
      </c>
      <c r="O393">
        <v>2021</v>
      </c>
      <c r="P393" t="s">
        <v>494</v>
      </c>
    </row>
    <row r="394" spans="1:16" x14ac:dyDescent="0.3">
      <c r="A394" t="s">
        <v>438</v>
      </c>
      <c r="B394" s="1">
        <v>45644</v>
      </c>
      <c r="C394" t="s">
        <v>31</v>
      </c>
      <c r="D394" t="s">
        <v>23</v>
      </c>
      <c r="E394" t="s">
        <v>24</v>
      </c>
      <c r="F394" t="s">
        <v>16</v>
      </c>
      <c r="G394">
        <v>5850000</v>
      </c>
      <c r="H394">
        <v>5850000</v>
      </c>
      <c r="I394" t="s">
        <v>20</v>
      </c>
      <c r="J394" s="1">
        <v>45919</v>
      </c>
      <c r="K394">
        <v>7500000</v>
      </c>
      <c r="L394" t="s">
        <v>40</v>
      </c>
      <c r="M394">
        <v>0</v>
      </c>
      <c r="N394" t="s">
        <v>481</v>
      </c>
      <c r="O394">
        <v>2022</v>
      </c>
      <c r="P394" t="s">
        <v>494</v>
      </c>
    </row>
    <row r="395" spans="1:16" x14ac:dyDescent="0.3">
      <c r="A395" t="s">
        <v>439</v>
      </c>
      <c r="B395" s="1">
        <v>45464</v>
      </c>
      <c r="C395" t="s">
        <v>35</v>
      </c>
      <c r="D395" t="s">
        <v>14</v>
      </c>
      <c r="E395" t="s">
        <v>15</v>
      </c>
      <c r="F395" t="s">
        <v>33</v>
      </c>
      <c r="G395">
        <v>8350000</v>
      </c>
      <c r="H395">
        <v>0</v>
      </c>
      <c r="I395" t="s">
        <v>17</v>
      </c>
      <c r="J395" s="1">
        <v>46142</v>
      </c>
      <c r="K395">
        <v>9000000</v>
      </c>
      <c r="L395" t="s">
        <v>40</v>
      </c>
      <c r="M395">
        <v>0</v>
      </c>
      <c r="N395" t="s">
        <v>480</v>
      </c>
      <c r="O395">
        <v>2021</v>
      </c>
      <c r="P395" t="s">
        <v>476</v>
      </c>
    </row>
    <row r="396" spans="1:16" x14ac:dyDescent="0.3">
      <c r="A396" t="s">
        <v>440</v>
      </c>
      <c r="B396" s="1">
        <v>45590</v>
      </c>
      <c r="C396" t="s">
        <v>13</v>
      </c>
      <c r="D396" t="s">
        <v>23</v>
      </c>
      <c r="E396" t="s">
        <v>24</v>
      </c>
      <c r="F396" t="s">
        <v>33</v>
      </c>
      <c r="G396">
        <v>6650000</v>
      </c>
      <c r="H396">
        <v>6650000</v>
      </c>
      <c r="I396" t="s">
        <v>20</v>
      </c>
      <c r="J396" s="1">
        <v>46488</v>
      </c>
      <c r="K396">
        <v>8500000</v>
      </c>
      <c r="L396" t="s">
        <v>476</v>
      </c>
      <c r="M396">
        <v>0</v>
      </c>
      <c r="N396" t="s">
        <v>481</v>
      </c>
      <c r="O396">
        <v>2022</v>
      </c>
      <c r="P396" t="s">
        <v>494</v>
      </c>
    </row>
    <row r="397" spans="1:16" x14ac:dyDescent="0.3">
      <c r="A397" t="s">
        <v>441</v>
      </c>
      <c r="B397" s="1">
        <v>45530</v>
      </c>
      <c r="C397" t="s">
        <v>35</v>
      </c>
      <c r="D397" t="s">
        <v>14</v>
      </c>
      <c r="E397" t="s">
        <v>15</v>
      </c>
      <c r="F397" t="s">
        <v>33</v>
      </c>
      <c r="G397">
        <v>7000000</v>
      </c>
      <c r="H397">
        <v>7000000</v>
      </c>
      <c r="I397" t="s">
        <v>20</v>
      </c>
      <c r="J397" s="1">
        <v>46028</v>
      </c>
      <c r="K397">
        <v>9000000</v>
      </c>
      <c r="L397" t="s">
        <v>38</v>
      </c>
      <c r="M397">
        <v>0</v>
      </c>
      <c r="N397" t="s">
        <v>480</v>
      </c>
      <c r="O397">
        <v>2021</v>
      </c>
      <c r="P397" t="s">
        <v>494</v>
      </c>
    </row>
    <row r="398" spans="1:16" x14ac:dyDescent="0.3">
      <c r="A398" t="s">
        <v>442</v>
      </c>
      <c r="B398" s="1">
        <v>45356</v>
      </c>
      <c r="C398" t="s">
        <v>22</v>
      </c>
      <c r="D398" t="s">
        <v>23</v>
      </c>
      <c r="E398" t="s">
        <v>24</v>
      </c>
      <c r="F398" t="s">
        <v>16</v>
      </c>
      <c r="G398">
        <v>4800000</v>
      </c>
      <c r="H398">
        <v>550000</v>
      </c>
      <c r="I398" t="s">
        <v>26</v>
      </c>
      <c r="J398" s="1">
        <v>45693</v>
      </c>
      <c r="K398">
        <v>8000000</v>
      </c>
      <c r="L398" t="s">
        <v>476</v>
      </c>
      <c r="M398">
        <v>755</v>
      </c>
      <c r="N398" t="s">
        <v>481</v>
      </c>
      <c r="O398">
        <v>2022</v>
      </c>
      <c r="P398" t="s">
        <v>495</v>
      </c>
    </row>
    <row r="399" spans="1:16" x14ac:dyDescent="0.3">
      <c r="A399" t="s">
        <v>443</v>
      </c>
      <c r="B399" s="1">
        <v>45318</v>
      </c>
      <c r="C399" t="s">
        <v>31</v>
      </c>
      <c r="D399" t="s">
        <v>44</v>
      </c>
      <c r="E399" t="s">
        <v>45</v>
      </c>
      <c r="F399" t="s">
        <v>25</v>
      </c>
      <c r="G399">
        <v>3300000</v>
      </c>
      <c r="H399">
        <v>3300000</v>
      </c>
      <c r="I399" t="s">
        <v>26</v>
      </c>
      <c r="J399" s="1">
        <v>45985</v>
      </c>
      <c r="K399">
        <v>7500000</v>
      </c>
      <c r="L399" t="s">
        <v>476</v>
      </c>
      <c r="M399">
        <v>793</v>
      </c>
      <c r="N399" t="s">
        <v>482</v>
      </c>
      <c r="O399">
        <v>2023</v>
      </c>
      <c r="P399" t="s">
        <v>494</v>
      </c>
    </row>
    <row r="400" spans="1:16" x14ac:dyDescent="0.3">
      <c r="A400" t="s">
        <v>444</v>
      </c>
      <c r="B400" s="1">
        <v>45649</v>
      </c>
      <c r="C400" t="s">
        <v>31</v>
      </c>
      <c r="D400" t="s">
        <v>23</v>
      </c>
      <c r="E400" t="s">
        <v>24</v>
      </c>
      <c r="F400" t="s">
        <v>25</v>
      </c>
      <c r="G400">
        <v>3400000</v>
      </c>
      <c r="H400">
        <v>3400000</v>
      </c>
      <c r="I400" t="s">
        <v>20</v>
      </c>
      <c r="J400" s="1">
        <v>46416</v>
      </c>
      <c r="K400">
        <v>7500000</v>
      </c>
      <c r="L400" t="s">
        <v>18</v>
      </c>
      <c r="M400">
        <v>0</v>
      </c>
      <c r="N400" t="s">
        <v>481</v>
      </c>
      <c r="O400">
        <v>2022</v>
      </c>
      <c r="P400" t="s">
        <v>494</v>
      </c>
    </row>
    <row r="401" spans="1:16" x14ac:dyDescent="0.3">
      <c r="A401" t="s">
        <v>445</v>
      </c>
      <c r="B401" s="1">
        <v>45357</v>
      </c>
      <c r="C401" t="s">
        <v>13</v>
      </c>
      <c r="D401" t="s">
        <v>14</v>
      </c>
      <c r="E401" t="s">
        <v>15</v>
      </c>
      <c r="F401" t="s">
        <v>16</v>
      </c>
      <c r="G401">
        <v>5100000</v>
      </c>
      <c r="H401">
        <v>1150000</v>
      </c>
      <c r="I401" t="s">
        <v>26</v>
      </c>
      <c r="J401" s="1">
        <v>45753</v>
      </c>
      <c r="K401">
        <v>8500000</v>
      </c>
      <c r="L401" t="s">
        <v>476</v>
      </c>
      <c r="M401">
        <v>754</v>
      </c>
      <c r="N401" t="s">
        <v>480</v>
      </c>
      <c r="O401">
        <v>2021</v>
      </c>
      <c r="P401" t="s">
        <v>495</v>
      </c>
    </row>
    <row r="402" spans="1:16" x14ac:dyDescent="0.3">
      <c r="A402" t="s">
        <v>446</v>
      </c>
      <c r="B402" s="1">
        <v>45454</v>
      </c>
      <c r="C402" t="s">
        <v>13</v>
      </c>
      <c r="D402" t="s">
        <v>23</v>
      </c>
      <c r="E402" t="s">
        <v>24</v>
      </c>
      <c r="F402" t="s">
        <v>16</v>
      </c>
      <c r="G402">
        <v>4250000</v>
      </c>
      <c r="H402">
        <v>1300000</v>
      </c>
      <c r="I402" t="s">
        <v>26</v>
      </c>
      <c r="J402" s="1">
        <v>46022</v>
      </c>
      <c r="K402">
        <v>8500000</v>
      </c>
      <c r="L402" t="s">
        <v>476</v>
      </c>
      <c r="M402">
        <v>657</v>
      </c>
      <c r="N402" t="s">
        <v>481</v>
      </c>
      <c r="O402">
        <v>2022</v>
      </c>
      <c r="P402" t="s">
        <v>495</v>
      </c>
    </row>
    <row r="403" spans="1:16" x14ac:dyDescent="0.3">
      <c r="A403" t="s">
        <v>447</v>
      </c>
      <c r="B403" s="1">
        <v>45537</v>
      </c>
      <c r="C403" t="s">
        <v>35</v>
      </c>
      <c r="D403" t="s">
        <v>23</v>
      </c>
      <c r="E403" t="s">
        <v>24</v>
      </c>
      <c r="F403" t="s">
        <v>16</v>
      </c>
      <c r="G403">
        <v>4600000</v>
      </c>
      <c r="H403">
        <v>0</v>
      </c>
      <c r="I403" t="s">
        <v>17</v>
      </c>
      <c r="J403" s="1">
        <v>46428</v>
      </c>
      <c r="K403">
        <v>9000000</v>
      </c>
      <c r="L403" t="s">
        <v>476</v>
      </c>
      <c r="M403">
        <v>0</v>
      </c>
      <c r="N403" t="s">
        <v>481</v>
      </c>
      <c r="O403">
        <v>2022</v>
      </c>
      <c r="P403" t="s">
        <v>476</v>
      </c>
    </row>
    <row r="404" spans="1:16" x14ac:dyDescent="0.3">
      <c r="A404" t="s">
        <v>448</v>
      </c>
      <c r="B404" s="1">
        <v>45445</v>
      </c>
      <c r="C404" t="s">
        <v>22</v>
      </c>
      <c r="D404" t="s">
        <v>44</v>
      </c>
      <c r="E404" t="s">
        <v>45</v>
      </c>
      <c r="F404" t="s">
        <v>51</v>
      </c>
      <c r="G404">
        <v>9750000</v>
      </c>
      <c r="H404">
        <v>9750000</v>
      </c>
      <c r="I404" t="s">
        <v>20</v>
      </c>
      <c r="J404" s="1">
        <v>46040</v>
      </c>
      <c r="K404">
        <v>8000000</v>
      </c>
      <c r="L404" t="s">
        <v>476</v>
      </c>
      <c r="M404">
        <v>0</v>
      </c>
      <c r="N404" t="s">
        <v>482</v>
      </c>
      <c r="O404">
        <v>2023</v>
      </c>
      <c r="P404" t="s">
        <v>494</v>
      </c>
    </row>
    <row r="405" spans="1:16" x14ac:dyDescent="0.3">
      <c r="A405" t="s">
        <v>449</v>
      </c>
      <c r="B405" s="1">
        <v>45337</v>
      </c>
      <c r="C405" t="s">
        <v>28</v>
      </c>
      <c r="D405" t="s">
        <v>14</v>
      </c>
      <c r="E405" t="s">
        <v>15</v>
      </c>
      <c r="F405" t="s">
        <v>16</v>
      </c>
      <c r="G405">
        <v>4900000</v>
      </c>
      <c r="H405">
        <v>4900000</v>
      </c>
      <c r="I405" t="s">
        <v>20</v>
      </c>
      <c r="J405" s="1">
        <v>45554</v>
      </c>
      <c r="K405">
        <v>7000000</v>
      </c>
      <c r="L405" t="s">
        <v>476</v>
      </c>
      <c r="M405">
        <v>0</v>
      </c>
      <c r="N405" t="s">
        <v>480</v>
      </c>
      <c r="O405">
        <v>2021</v>
      </c>
      <c r="P405" t="s">
        <v>494</v>
      </c>
    </row>
    <row r="406" spans="1:16" x14ac:dyDescent="0.3">
      <c r="A406" t="s">
        <v>450</v>
      </c>
      <c r="B406" s="1">
        <v>45573</v>
      </c>
      <c r="C406" t="s">
        <v>28</v>
      </c>
      <c r="D406" t="s">
        <v>14</v>
      </c>
      <c r="E406" t="s">
        <v>15</v>
      </c>
      <c r="F406" t="s">
        <v>16</v>
      </c>
      <c r="G406">
        <v>5650000</v>
      </c>
      <c r="H406">
        <v>1950000</v>
      </c>
      <c r="I406" t="s">
        <v>26</v>
      </c>
      <c r="J406" s="1">
        <v>46128</v>
      </c>
      <c r="K406">
        <v>7000000</v>
      </c>
      <c r="L406" t="s">
        <v>476</v>
      </c>
      <c r="M406">
        <v>538</v>
      </c>
      <c r="N406" t="s">
        <v>480</v>
      </c>
      <c r="O406">
        <v>2021</v>
      </c>
      <c r="P406" t="s">
        <v>495</v>
      </c>
    </row>
    <row r="407" spans="1:16" x14ac:dyDescent="0.3">
      <c r="A407" t="s">
        <v>451</v>
      </c>
      <c r="B407" s="1">
        <v>45474</v>
      </c>
      <c r="C407" t="s">
        <v>22</v>
      </c>
      <c r="D407" t="s">
        <v>14</v>
      </c>
      <c r="E407" t="s">
        <v>15</v>
      </c>
      <c r="F407" t="s">
        <v>51</v>
      </c>
      <c r="G407">
        <v>12300000</v>
      </c>
      <c r="H407">
        <v>12300000</v>
      </c>
      <c r="I407" t="s">
        <v>20</v>
      </c>
      <c r="J407" s="1">
        <v>45699</v>
      </c>
      <c r="K407">
        <v>8000000</v>
      </c>
      <c r="L407" t="s">
        <v>40</v>
      </c>
      <c r="M407">
        <v>0</v>
      </c>
      <c r="N407" t="s">
        <v>480</v>
      </c>
      <c r="O407">
        <v>2021</v>
      </c>
      <c r="P407" t="s">
        <v>494</v>
      </c>
    </row>
    <row r="408" spans="1:16" x14ac:dyDescent="0.3">
      <c r="A408" t="s">
        <v>452</v>
      </c>
      <c r="B408" s="1">
        <v>45435</v>
      </c>
      <c r="C408" t="s">
        <v>22</v>
      </c>
      <c r="D408" t="s">
        <v>14</v>
      </c>
      <c r="E408" t="s">
        <v>15</v>
      </c>
      <c r="F408" t="s">
        <v>16</v>
      </c>
      <c r="G408">
        <v>4950000</v>
      </c>
      <c r="H408">
        <v>4950000</v>
      </c>
      <c r="I408" t="s">
        <v>20</v>
      </c>
      <c r="J408" s="1">
        <v>45986</v>
      </c>
      <c r="K408">
        <v>8000000</v>
      </c>
      <c r="L408" t="s">
        <v>38</v>
      </c>
      <c r="M408">
        <v>0</v>
      </c>
      <c r="N408" t="s">
        <v>480</v>
      </c>
      <c r="O408">
        <v>2021</v>
      </c>
      <c r="P408" t="s">
        <v>494</v>
      </c>
    </row>
    <row r="409" spans="1:16" x14ac:dyDescent="0.3">
      <c r="A409" t="s">
        <v>453</v>
      </c>
      <c r="B409" s="1">
        <v>45329</v>
      </c>
      <c r="C409" t="s">
        <v>13</v>
      </c>
      <c r="D409" t="s">
        <v>23</v>
      </c>
      <c r="E409" t="s">
        <v>24</v>
      </c>
      <c r="F409" t="s">
        <v>25</v>
      </c>
      <c r="G409">
        <v>3350000</v>
      </c>
      <c r="H409">
        <v>0</v>
      </c>
      <c r="I409" t="s">
        <v>17</v>
      </c>
      <c r="J409" s="1">
        <v>45836</v>
      </c>
      <c r="K409">
        <v>8500000</v>
      </c>
      <c r="L409" t="s">
        <v>40</v>
      </c>
      <c r="M409">
        <v>0</v>
      </c>
      <c r="N409" t="s">
        <v>481</v>
      </c>
      <c r="O409">
        <v>2022</v>
      </c>
      <c r="P409" t="s">
        <v>476</v>
      </c>
    </row>
    <row r="410" spans="1:16" x14ac:dyDescent="0.3">
      <c r="A410" t="s">
        <v>454</v>
      </c>
      <c r="B410" s="1">
        <v>45471</v>
      </c>
      <c r="C410" t="s">
        <v>35</v>
      </c>
      <c r="D410" t="s">
        <v>44</v>
      </c>
      <c r="E410" t="s">
        <v>45</v>
      </c>
      <c r="F410" t="s">
        <v>33</v>
      </c>
      <c r="G410">
        <v>8150000</v>
      </c>
      <c r="H410">
        <v>8150000</v>
      </c>
      <c r="I410" t="s">
        <v>20</v>
      </c>
      <c r="J410" s="1">
        <v>46260</v>
      </c>
      <c r="K410">
        <v>9000000</v>
      </c>
      <c r="L410" t="s">
        <v>38</v>
      </c>
      <c r="M410">
        <v>0</v>
      </c>
      <c r="N410" t="s">
        <v>482</v>
      </c>
      <c r="O410">
        <v>2023</v>
      </c>
      <c r="P410" t="s">
        <v>494</v>
      </c>
    </row>
    <row r="411" spans="1:16" x14ac:dyDescent="0.3">
      <c r="A411" t="s">
        <v>455</v>
      </c>
      <c r="B411" s="1">
        <v>45560</v>
      </c>
      <c r="C411" t="s">
        <v>35</v>
      </c>
      <c r="D411" t="s">
        <v>23</v>
      </c>
      <c r="E411" t="s">
        <v>24</v>
      </c>
      <c r="F411" t="s">
        <v>16</v>
      </c>
      <c r="G411">
        <v>4650000</v>
      </c>
      <c r="H411">
        <v>700000</v>
      </c>
      <c r="I411" t="s">
        <v>26</v>
      </c>
      <c r="J411" s="1">
        <v>46290</v>
      </c>
      <c r="K411">
        <v>9000000</v>
      </c>
      <c r="L411" t="s">
        <v>476</v>
      </c>
      <c r="M411">
        <v>551</v>
      </c>
      <c r="N411" t="s">
        <v>481</v>
      </c>
      <c r="O411">
        <v>2022</v>
      </c>
      <c r="P411" t="s">
        <v>495</v>
      </c>
    </row>
    <row r="412" spans="1:16" x14ac:dyDescent="0.3">
      <c r="A412" t="s">
        <v>456</v>
      </c>
      <c r="B412" s="1">
        <v>45342</v>
      </c>
      <c r="C412" t="s">
        <v>22</v>
      </c>
      <c r="D412" t="s">
        <v>44</v>
      </c>
      <c r="E412" t="s">
        <v>45</v>
      </c>
      <c r="F412" t="s">
        <v>51</v>
      </c>
      <c r="G412">
        <v>11300000</v>
      </c>
      <c r="H412">
        <v>2650000</v>
      </c>
      <c r="I412" t="s">
        <v>26</v>
      </c>
      <c r="J412" s="1">
        <v>45755</v>
      </c>
      <c r="K412">
        <v>8000000</v>
      </c>
      <c r="L412" t="s">
        <v>476</v>
      </c>
      <c r="M412">
        <v>769</v>
      </c>
      <c r="N412" t="s">
        <v>482</v>
      </c>
      <c r="O412">
        <v>2023</v>
      </c>
      <c r="P412" t="s">
        <v>495</v>
      </c>
    </row>
    <row r="413" spans="1:16" x14ac:dyDescent="0.3">
      <c r="A413" t="s">
        <v>457</v>
      </c>
      <c r="B413" s="1">
        <v>45381</v>
      </c>
      <c r="C413" t="s">
        <v>28</v>
      </c>
      <c r="D413" t="s">
        <v>44</v>
      </c>
      <c r="E413" t="s">
        <v>45</v>
      </c>
      <c r="F413" t="s">
        <v>51</v>
      </c>
      <c r="G413">
        <v>12500000</v>
      </c>
      <c r="H413">
        <v>12500000</v>
      </c>
      <c r="I413" t="s">
        <v>26</v>
      </c>
      <c r="J413" s="1">
        <v>46242</v>
      </c>
      <c r="K413">
        <v>7000000</v>
      </c>
      <c r="L413" t="s">
        <v>52</v>
      </c>
      <c r="M413">
        <v>730</v>
      </c>
      <c r="N413" t="s">
        <v>482</v>
      </c>
      <c r="O413">
        <v>2023</v>
      </c>
      <c r="P413" t="s">
        <v>494</v>
      </c>
    </row>
    <row r="414" spans="1:16" x14ac:dyDescent="0.3">
      <c r="A414" t="s">
        <v>458</v>
      </c>
      <c r="B414" s="1">
        <v>45449</v>
      </c>
      <c r="C414" t="s">
        <v>13</v>
      </c>
      <c r="D414" t="s">
        <v>23</v>
      </c>
      <c r="E414" t="s">
        <v>24</v>
      </c>
      <c r="F414" t="s">
        <v>25</v>
      </c>
      <c r="G414">
        <v>3150000</v>
      </c>
      <c r="H414">
        <v>700000</v>
      </c>
      <c r="I414" t="s">
        <v>26</v>
      </c>
      <c r="J414" s="1">
        <v>46008</v>
      </c>
      <c r="K414">
        <v>8500000</v>
      </c>
      <c r="L414" t="s">
        <v>476</v>
      </c>
      <c r="M414">
        <v>662</v>
      </c>
      <c r="N414" t="s">
        <v>481</v>
      </c>
      <c r="O414">
        <v>2022</v>
      </c>
      <c r="P414" t="s">
        <v>495</v>
      </c>
    </row>
    <row r="415" spans="1:16" x14ac:dyDescent="0.3">
      <c r="A415" t="s">
        <v>459</v>
      </c>
      <c r="B415" s="1">
        <v>45358</v>
      </c>
      <c r="C415" t="s">
        <v>35</v>
      </c>
      <c r="D415" t="s">
        <v>23</v>
      </c>
      <c r="E415" t="s">
        <v>24</v>
      </c>
      <c r="F415" t="s">
        <v>25</v>
      </c>
      <c r="G415">
        <v>2500000</v>
      </c>
      <c r="H415">
        <v>2500000</v>
      </c>
      <c r="I415" t="s">
        <v>20</v>
      </c>
      <c r="J415" s="1">
        <v>46138</v>
      </c>
      <c r="K415">
        <v>9000000</v>
      </c>
      <c r="L415" t="s">
        <v>52</v>
      </c>
      <c r="M415">
        <v>0</v>
      </c>
      <c r="N415" t="s">
        <v>481</v>
      </c>
      <c r="O415">
        <v>2022</v>
      </c>
      <c r="P415" t="s">
        <v>494</v>
      </c>
    </row>
    <row r="416" spans="1:16" x14ac:dyDescent="0.3">
      <c r="A416" t="s">
        <v>460</v>
      </c>
      <c r="B416" s="1">
        <v>45550</v>
      </c>
      <c r="C416" t="s">
        <v>13</v>
      </c>
      <c r="D416" t="s">
        <v>23</v>
      </c>
      <c r="E416" t="s">
        <v>24</v>
      </c>
      <c r="F416" t="s">
        <v>33</v>
      </c>
      <c r="G416">
        <v>8550000</v>
      </c>
      <c r="H416">
        <v>8550000</v>
      </c>
      <c r="I416" t="s">
        <v>20</v>
      </c>
      <c r="J416" s="1">
        <v>45736</v>
      </c>
      <c r="K416">
        <v>8500000</v>
      </c>
      <c r="L416" t="s">
        <v>476</v>
      </c>
      <c r="M416">
        <v>0</v>
      </c>
      <c r="N416" t="s">
        <v>481</v>
      </c>
      <c r="O416">
        <v>2022</v>
      </c>
      <c r="P416" t="s">
        <v>494</v>
      </c>
    </row>
    <row r="417" spans="1:16" x14ac:dyDescent="0.3">
      <c r="A417" t="s">
        <v>461</v>
      </c>
      <c r="B417" s="1">
        <v>45292</v>
      </c>
      <c r="C417" t="s">
        <v>35</v>
      </c>
      <c r="D417" t="s">
        <v>23</v>
      </c>
      <c r="E417" t="s">
        <v>24</v>
      </c>
      <c r="F417" t="s">
        <v>51</v>
      </c>
      <c r="G417">
        <v>12200000</v>
      </c>
      <c r="H417">
        <v>2850000</v>
      </c>
      <c r="I417" t="s">
        <v>26</v>
      </c>
      <c r="J417" s="1">
        <v>46163</v>
      </c>
      <c r="K417">
        <v>9000000</v>
      </c>
      <c r="L417" t="s">
        <v>29</v>
      </c>
      <c r="M417">
        <v>819</v>
      </c>
      <c r="N417" t="s">
        <v>481</v>
      </c>
      <c r="O417">
        <v>2022</v>
      </c>
      <c r="P417" t="s">
        <v>495</v>
      </c>
    </row>
    <row r="418" spans="1:16" x14ac:dyDescent="0.3">
      <c r="A418" t="s">
        <v>462</v>
      </c>
      <c r="B418" s="1">
        <v>45478</v>
      </c>
      <c r="C418" t="s">
        <v>13</v>
      </c>
      <c r="D418" t="s">
        <v>23</v>
      </c>
      <c r="E418" t="s">
        <v>24</v>
      </c>
      <c r="F418" t="s">
        <v>33</v>
      </c>
      <c r="G418">
        <v>7800000</v>
      </c>
      <c r="H418">
        <v>0</v>
      </c>
      <c r="I418" t="s">
        <v>17</v>
      </c>
      <c r="J418" s="1">
        <v>45785</v>
      </c>
      <c r="K418">
        <v>8500000</v>
      </c>
      <c r="L418" t="s">
        <v>18</v>
      </c>
      <c r="M418">
        <v>0</v>
      </c>
      <c r="N418" t="s">
        <v>481</v>
      </c>
      <c r="O418">
        <v>2022</v>
      </c>
      <c r="P418" t="s">
        <v>476</v>
      </c>
    </row>
    <row r="419" spans="1:16" x14ac:dyDescent="0.3">
      <c r="A419" t="s">
        <v>463</v>
      </c>
      <c r="B419" s="1">
        <v>45317</v>
      </c>
      <c r="C419" t="s">
        <v>31</v>
      </c>
      <c r="D419" t="s">
        <v>23</v>
      </c>
      <c r="E419" t="s">
        <v>24</v>
      </c>
      <c r="F419" t="s">
        <v>51</v>
      </c>
      <c r="G419">
        <v>12800000</v>
      </c>
      <c r="H419">
        <v>1400000</v>
      </c>
      <c r="I419" t="s">
        <v>26</v>
      </c>
      <c r="J419" s="1">
        <v>46196</v>
      </c>
      <c r="K419">
        <v>7500000</v>
      </c>
      <c r="L419" t="s">
        <v>476</v>
      </c>
      <c r="M419">
        <v>794</v>
      </c>
      <c r="N419" t="s">
        <v>481</v>
      </c>
      <c r="O419">
        <v>2022</v>
      </c>
      <c r="P419" t="s">
        <v>495</v>
      </c>
    </row>
    <row r="420" spans="1:16" x14ac:dyDescent="0.3">
      <c r="A420" t="s">
        <v>464</v>
      </c>
      <c r="B420" s="1">
        <v>45644</v>
      </c>
      <c r="C420" t="s">
        <v>22</v>
      </c>
      <c r="D420" t="s">
        <v>23</v>
      </c>
      <c r="E420" t="s">
        <v>24</v>
      </c>
      <c r="F420" t="s">
        <v>25</v>
      </c>
      <c r="G420">
        <v>2600000</v>
      </c>
      <c r="H420">
        <v>450000</v>
      </c>
      <c r="I420" t="s">
        <v>26</v>
      </c>
      <c r="J420" s="1">
        <v>45901</v>
      </c>
      <c r="K420">
        <v>8000000</v>
      </c>
      <c r="L420" t="s">
        <v>40</v>
      </c>
      <c r="M420">
        <v>467</v>
      </c>
      <c r="N420" t="s">
        <v>481</v>
      </c>
      <c r="O420">
        <v>2022</v>
      </c>
      <c r="P420" t="s">
        <v>495</v>
      </c>
    </row>
    <row r="421" spans="1:16" x14ac:dyDescent="0.3">
      <c r="A421" t="s">
        <v>465</v>
      </c>
      <c r="B421" s="1">
        <v>45335</v>
      </c>
      <c r="C421" t="s">
        <v>28</v>
      </c>
      <c r="D421" t="s">
        <v>14</v>
      </c>
      <c r="E421" t="s">
        <v>15</v>
      </c>
      <c r="F421" t="s">
        <v>33</v>
      </c>
      <c r="G421">
        <v>6800000</v>
      </c>
      <c r="H421">
        <v>6800000</v>
      </c>
      <c r="I421" t="s">
        <v>20</v>
      </c>
      <c r="J421" s="1">
        <v>45789</v>
      </c>
      <c r="K421">
        <v>7000000</v>
      </c>
      <c r="L421" t="s">
        <v>52</v>
      </c>
      <c r="M421">
        <v>0</v>
      </c>
      <c r="N421" t="s">
        <v>480</v>
      </c>
      <c r="O421">
        <v>2021</v>
      </c>
      <c r="P421" t="s">
        <v>494</v>
      </c>
    </row>
    <row r="422" spans="1:16" x14ac:dyDescent="0.3">
      <c r="A422" t="s">
        <v>466</v>
      </c>
      <c r="B422" s="1">
        <v>45383</v>
      </c>
      <c r="C422" t="s">
        <v>22</v>
      </c>
      <c r="D422" t="s">
        <v>44</v>
      </c>
      <c r="E422" t="s">
        <v>45</v>
      </c>
      <c r="F422" t="s">
        <v>16</v>
      </c>
      <c r="G422">
        <v>4500000</v>
      </c>
      <c r="H422">
        <v>4500000</v>
      </c>
      <c r="I422" t="s">
        <v>20</v>
      </c>
      <c r="J422" s="1">
        <v>46197</v>
      </c>
      <c r="K422">
        <v>8000000</v>
      </c>
      <c r="L422" t="s">
        <v>476</v>
      </c>
      <c r="M422">
        <v>0</v>
      </c>
      <c r="N422" t="s">
        <v>482</v>
      </c>
      <c r="O422">
        <v>2023</v>
      </c>
      <c r="P422" t="s">
        <v>494</v>
      </c>
    </row>
    <row r="423" spans="1:16" x14ac:dyDescent="0.3">
      <c r="A423" t="s">
        <v>467</v>
      </c>
      <c r="B423" s="1">
        <v>45595</v>
      </c>
      <c r="C423" t="s">
        <v>31</v>
      </c>
      <c r="D423" t="s">
        <v>23</v>
      </c>
      <c r="E423" t="s">
        <v>24</v>
      </c>
      <c r="F423" t="s">
        <v>51</v>
      </c>
      <c r="G423">
        <v>10500000</v>
      </c>
      <c r="H423">
        <v>3500000</v>
      </c>
      <c r="I423" t="s">
        <v>26</v>
      </c>
      <c r="J423" s="1">
        <v>46130</v>
      </c>
      <c r="K423">
        <v>7500000</v>
      </c>
      <c r="L423" t="s">
        <v>476</v>
      </c>
      <c r="M423">
        <v>516</v>
      </c>
      <c r="N423" t="s">
        <v>481</v>
      </c>
      <c r="O423">
        <v>2022</v>
      </c>
      <c r="P423" t="s">
        <v>495</v>
      </c>
    </row>
    <row r="424" spans="1:16" x14ac:dyDescent="0.3">
      <c r="A424" t="s">
        <v>468</v>
      </c>
      <c r="B424" s="1">
        <v>45511</v>
      </c>
      <c r="C424" t="s">
        <v>35</v>
      </c>
      <c r="D424" t="s">
        <v>23</v>
      </c>
      <c r="E424" t="s">
        <v>24</v>
      </c>
      <c r="F424" t="s">
        <v>25</v>
      </c>
      <c r="G424">
        <v>3400000</v>
      </c>
      <c r="H424">
        <v>1200000</v>
      </c>
      <c r="I424" t="s">
        <v>26</v>
      </c>
      <c r="J424" s="1">
        <v>45799</v>
      </c>
      <c r="K424">
        <v>9000000</v>
      </c>
      <c r="L424" t="s">
        <v>476</v>
      </c>
      <c r="M424">
        <v>600</v>
      </c>
      <c r="N424" t="s">
        <v>481</v>
      </c>
      <c r="O424">
        <v>2022</v>
      </c>
      <c r="P424" t="s">
        <v>495</v>
      </c>
    </row>
    <row r="425" spans="1:16" x14ac:dyDescent="0.3">
      <c r="A425" t="s">
        <v>469</v>
      </c>
      <c r="B425" s="1">
        <v>45477</v>
      </c>
      <c r="C425" t="s">
        <v>28</v>
      </c>
      <c r="D425" t="s">
        <v>14</v>
      </c>
      <c r="E425" t="s">
        <v>15</v>
      </c>
      <c r="F425" t="s">
        <v>51</v>
      </c>
      <c r="G425">
        <v>10650000</v>
      </c>
      <c r="H425">
        <v>10650000</v>
      </c>
      <c r="I425" t="s">
        <v>20</v>
      </c>
      <c r="J425" s="1">
        <v>46162</v>
      </c>
      <c r="K425">
        <v>7000000</v>
      </c>
      <c r="L425" t="s">
        <v>42</v>
      </c>
      <c r="M425">
        <v>0</v>
      </c>
      <c r="N425" t="s">
        <v>480</v>
      </c>
      <c r="O425">
        <v>2021</v>
      </c>
      <c r="P425" t="s">
        <v>494</v>
      </c>
    </row>
    <row r="426" spans="1:16" x14ac:dyDescent="0.3">
      <c r="A426" t="s">
        <v>470</v>
      </c>
      <c r="B426" s="1">
        <v>45304</v>
      </c>
      <c r="C426" t="s">
        <v>22</v>
      </c>
      <c r="D426" t="s">
        <v>23</v>
      </c>
      <c r="E426" t="s">
        <v>24</v>
      </c>
      <c r="F426" t="s">
        <v>33</v>
      </c>
      <c r="G426">
        <v>6800000</v>
      </c>
      <c r="H426">
        <v>1550000</v>
      </c>
      <c r="I426" t="s">
        <v>26</v>
      </c>
      <c r="J426" s="1">
        <v>46128</v>
      </c>
      <c r="K426">
        <v>8000000</v>
      </c>
      <c r="L426" t="s">
        <v>29</v>
      </c>
      <c r="M426">
        <v>807</v>
      </c>
      <c r="N426" t="s">
        <v>481</v>
      </c>
      <c r="O426">
        <v>2022</v>
      </c>
      <c r="P426" t="s">
        <v>495</v>
      </c>
    </row>
    <row r="427" spans="1:16" x14ac:dyDescent="0.3">
      <c r="A427" t="s">
        <v>471</v>
      </c>
      <c r="B427" s="1">
        <v>45495</v>
      </c>
      <c r="C427" t="s">
        <v>13</v>
      </c>
      <c r="D427" t="s">
        <v>23</v>
      </c>
      <c r="E427" t="s">
        <v>24</v>
      </c>
      <c r="F427" t="s">
        <v>51</v>
      </c>
      <c r="G427">
        <v>10100000</v>
      </c>
      <c r="H427">
        <v>10100000</v>
      </c>
      <c r="I427" t="s">
        <v>20</v>
      </c>
      <c r="J427" s="1">
        <v>45999</v>
      </c>
      <c r="K427">
        <v>8500000</v>
      </c>
      <c r="L427" t="s">
        <v>38</v>
      </c>
      <c r="M427">
        <v>0</v>
      </c>
      <c r="N427" t="s">
        <v>481</v>
      </c>
      <c r="O427">
        <v>2022</v>
      </c>
      <c r="P427" t="s">
        <v>494</v>
      </c>
    </row>
    <row r="428" spans="1:16" x14ac:dyDescent="0.3">
      <c r="A428" t="s">
        <v>472</v>
      </c>
      <c r="B428" s="1">
        <v>45348</v>
      </c>
      <c r="C428" t="s">
        <v>28</v>
      </c>
      <c r="D428" t="s">
        <v>14</v>
      </c>
      <c r="E428" t="s">
        <v>15</v>
      </c>
      <c r="F428" t="s">
        <v>16</v>
      </c>
      <c r="G428">
        <v>5500000</v>
      </c>
      <c r="H428">
        <v>0</v>
      </c>
      <c r="I428" t="s">
        <v>17</v>
      </c>
      <c r="J428" s="1">
        <v>45933</v>
      </c>
      <c r="K428">
        <v>7000000</v>
      </c>
      <c r="L428" t="s">
        <v>38</v>
      </c>
      <c r="M428">
        <v>0</v>
      </c>
      <c r="N428" t="s">
        <v>480</v>
      </c>
      <c r="O428">
        <v>2021</v>
      </c>
      <c r="P428" t="s">
        <v>476</v>
      </c>
    </row>
    <row r="429" spans="1:16" x14ac:dyDescent="0.3">
      <c r="A429" t="s">
        <v>473</v>
      </c>
      <c r="B429" s="1">
        <v>45636</v>
      </c>
      <c r="C429" t="s">
        <v>28</v>
      </c>
      <c r="D429" t="s">
        <v>23</v>
      </c>
      <c r="E429" t="s">
        <v>24</v>
      </c>
      <c r="F429" t="s">
        <v>51</v>
      </c>
      <c r="G429">
        <v>11450000</v>
      </c>
      <c r="H429">
        <v>11450000</v>
      </c>
      <c r="I429" t="s">
        <v>20</v>
      </c>
      <c r="J429" s="1">
        <v>46287</v>
      </c>
      <c r="K429">
        <v>7000000</v>
      </c>
      <c r="L429" t="s">
        <v>40</v>
      </c>
      <c r="M429">
        <v>0</v>
      </c>
      <c r="N429" t="s">
        <v>481</v>
      </c>
      <c r="O429">
        <v>2022</v>
      </c>
      <c r="P429" t="s">
        <v>494</v>
      </c>
    </row>
    <row r="430" spans="1:16" x14ac:dyDescent="0.3">
      <c r="A430" t="s">
        <v>474</v>
      </c>
      <c r="B430" s="1">
        <v>45522</v>
      </c>
      <c r="C430" t="s">
        <v>13</v>
      </c>
      <c r="D430" t="s">
        <v>23</v>
      </c>
      <c r="E430" t="s">
        <v>24</v>
      </c>
      <c r="F430" t="s">
        <v>16</v>
      </c>
      <c r="G430">
        <v>4400000</v>
      </c>
      <c r="H430">
        <v>0</v>
      </c>
      <c r="I430" t="s">
        <v>17</v>
      </c>
      <c r="J430" s="1">
        <v>46301</v>
      </c>
      <c r="K430">
        <v>8500000</v>
      </c>
      <c r="L430" t="s">
        <v>476</v>
      </c>
      <c r="M430">
        <v>0</v>
      </c>
      <c r="N430" t="s">
        <v>481</v>
      </c>
      <c r="O430">
        <v>2022</v>
      </c>
      <c r="P430" t="s">
        <v>476</v>
      </c>
    </row>
    <row r="431" spans="1:16" x14ac:dyDescent="0.3">
      <c r="A431" t="s">
        <v>475</v>
      </c>
      <c r="B431" s="1">
        <v>45424</v>
      </c>
      <c r="C431" t="s">
        <v>31</v>
      </c>
      <c r="D431" t="s">
        <v>14</v>
      </c>
      <c r="E431" t="s">
        <v>15</v>
      </c>
      <c r="F431" t="s">
        <v>16</v>
      </c>
      <c r="G431">
        <v>4800000</v>
      </c>
      <c r="H431">
        <v>1150000</v>
      </c>
      <c r="I431" t="s">
        <v>26</v>
      </c>
      <c r="J431" s="1">
        <v>46299</v>
      </c>
      <c r="K431">
        <v>7500000</v>
      </c>
      <c r="L431" t="s">
        <v>476</v>
      </c>
      <c r="M431">
        <v>687</v>
      </c>
      <c r="N431" t="s">
        <v>480</v>
      </c>
      <c r="O431">
        <v>2021</v>
      </c>
      <c r="P431" t="s">
        <v>495</v>
      </c>
    </row>
  </sheetData>
  <autoFilter ref="A1:M1" xr:uid="{45740593-3C0F-4F61-A0C0-B786ED9691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981F-63C9-4F6C-8BA9-DAB243A90A58}">
  <dimension ref="A1:D22"/>
  <sheetViews>
    <sheetView tabSelected="1" workbookViewId="0">
      <selection activeCell="H13" sqref="H13"/>
    </sheetView>
  </sheetViews>
  <sheetFormatPr defaultRowHeight="14.4" x14ac:dyDescent="0.3"/>
  <cols>
    <col min="1" max="1" width="15.88671875" customWidth="1"/>
    <col min="2" max="2" width="14.77734375" customWidth="1"/>
    <col min="3" max="3" width="14.33203125" customWidth="1"/>
  </cols>
  <sheetData>
    <row r="1" spans="1:2" x14ac:dyDescent="0.3">
      <c r="A1" t="s">
        <v>484</v>
      </c>
      <c r="B1" t="s">
        <v>485</v>
      </c>
    </row>
    <row r="2" spans="1:2" x14ac:dyDescent="0.3">
      <c r="A2" t="s">
        <v>14</v>
      </c>
      <c r="B2">
        <f>SUMIFS('Cleaned Data'!G:G,'Cleaned Data'!D:D,'MIS Summary'!A2)</f>
        <v>1179650000</v>
      </c>
    </row>
    <row r="3" spans="1:2" x14ac:dyDescent="0.3">
      <c r="A3" t="s">
        <v>23</v>
      </c>
      <c r="B3">
        <f>SUMIFS('Cleaned Data'!G:G,'Cleaned Data'!D:D,'MIS Summary'!A3)</f>
        <v>1277100000</v>
      </c>
    </row>
    <row r="4" spans="1:2" x14ac:dyDescent="0.3">
      <c r="A4" t="s">
        <v>44</v>
      </c>
      <c r="B4">
        <f>SUMIFS('Cleaned Data'!G:G,'Cleaned Data'!D:D,'MIS Summary'!A4)</f>
        <v>387750000</v>
      </c>
    </row>
    <row r="6" spans="1:2" x14ac:dyDescent="0.3">
      <c r="A6" t="s">
        <v>486</v>
      </c>
      <c r="B6" t="s">
        <v>487</v>
      </c>
    </row>
    <row r="7" spans="1:2" x14ac:dyDescent="0.3">
      <c r="A7" t="s">
        <v>20</v>
      </c>
      <c r="B7">
        <f>COUNTIFS('Cleaned Data'!I:I,'MIS Summary'!A7)</f>
        <v>211</v>
      </c>
    </row>
    <row r="8" spans="1:2" x14ac:dyDescent="0.3">
      <c r="A8" t="s">
        <v>26</v>
      </c>
      <c r="B8">
        <f>COUNTIFS('Cleaned Data'!I:I,'MIS Summary'!A8)</f>
        <v>157</v>
      </c>
    </row>
    <row r="9" spans="1:2" x14ac:dyDescent="0.3">
      <c r="A9" t="s">
        <v>17</v>
      </c>
      <c r="B9">
        <f>COUNTIFS('Cleaned Data'!I:I,'MIS Summary'!A9)</f>
        <v>62</v>
      </c>
    </row>
    <row r="11" spans="1:2" x14ac:dyDescent="0.3">
      <c r="A11" t="s">
        <v>488</v>
      </c>
      <c r="B11" t="s">
        <v>485</v>
      </c>
    </row>
    <row r="12" spans="1:2" x14ac:dyDescent="0.3">
      <c r="A12" t="s">
        <v>25</v>
      </c>
      <c r="B12">
        <f>SUMIFS('Cleaned Data'!G:G,'Cleaned Data'!F:F,'MIS Summary'!A12)</f>
        <v>175750000</v>
      </c>
    </row>
    <row r="13" spans="1:2" x14ac:dyDescent="0.3">
      <c r="A13" t="s">
        <v>16</v>
      </c>
      <c r="B13">
        <f>SUMIFS('Cleaned Data'!G:G,'Cleaned Data'!F:F,'MIS Summary'!A13)</f>
        <v>883500000</v>
      </c>
    </row>
    <row r="14" spans="1:2" x14ac:dyDescent="0.3">
      <c r="A14" t="s">
        <v>33</v>
      </c>
      <c r="B14">
        <f>SUMIFS('Cleaned Data'!G:G,'Cleaned Data'!F:F,'MIS Summary'!A14)</f>
        <v>931450000</v>
      </c>
    </row>
    <row r="15" spans="1:2" x14ac:dyDescent="0.3">
      <c r="A15" t="s">
        <v>51</v>
      </c>
      <c r="B15">
        <f>SUMIFS('Cleaned Data'!G:G,'Cleaned Data'!F:F,'MIS Summary'!A15)</f>
        <v>853800000</v>
      </c>
    </row>
    <row r="17" spans="1:4" x14ac:dyDescent="0.3">
      <c r="A17" t="s">
        <v>489</v>
      </c>
      <c r="B17" t="s">
        <v>490</v>
      </c>
      <c r="C17" t="s">
        <v>485</v>
      </c>
      <c r="D17" t="s">
        <v>491</v>
      </c>
    </row>
    <row r="18" spans="1:4" x14ac:dyDescent="0.3">
      <c r="A18" t="s">
        <v>22</v>
      </c>
      <c r="B18">
        <f>COUNTIFS('Cleaned Data'!C:C,'MIS Summary'!A18)</f>
        <v>81</v>
      </c>
      <c r="C18">
        <f>SUMIFS('Cleaned Data'!G:G,'Cleaned Data'!C:C,'MIS Summary'!A18)</f>
        <v>488600000</v>
      </c>
      <c r="D18" t="str">
        <f>IF(Bookings_by_Sales_Executive[[#This Row],[Total Revenue]]/Bookings_by_Sales_Executive[[#This Row],[Total Bookings]]&gt;1000000,"Execllent",IF(Bookings_by_Sales_Executive[[#This Row],[Total Revenue]]/Bookings_by_Sales_Executive[[#This Row],[Total Bookings]]&gt;=800000,"Good","Below Target"))</f>
        <v>Execllent</v>
      </c>
    </row>
    <row r="19" spans="1:4" x14ac:dyDescent="0.3">
      <c r="A19" t="s">
        <v>31</v>
      </c>
      <c r="B19">
        <f>COUNTIFS('Cleaned Data'!C:C,'MIS Summary'!A19)</f>
        <v>84</v>
      </c>
      <c r="C19">
        <f>SUMIFS('Cleaned Data'!G:G,'Cleaned Data'!C:C,'MIS Summary'!A19)</f>
        <v>595800000</v>
      </c>
      <c r="D19" t="str">
        <f>IF(Bookings_by_Sales_Executive[[#This Row],[Total Revenue]]/Bookings_by_Sales_Executive[[#This Row],[Total Bookings]]&gt;1000000,"Execllent",IF(Bookings_by_Sales_Executive[[#This Row],[Total Revenue]]/Bookings_by_Sales_Executive[[#This Row],[Total Bookings]]&gt;=800000,"Good","Below Target"))</f>
        <v>Execllent</v>
      </c>
    </row>
    <row r="20" spans="1:4" x14ac:dyDescent="0.3">
      <c r="A20" t="s">
        <v>35</v>
      </c>
      <c r="B20">
        <f>COUNTIFS('Cleaned Data'!C:C,'MIS Summary'!A20)</f>
        <v>90</v>
      </c>
      <c r="C20">
        <f>SUMIFS('Cleaned Data'!G:G,'Cleaned Data'!C:C,'MIS Summary'!A20)</f>
        <v>563850000</v>
      </c>
      <c r="D20" t="str">
        <f>IF(Bookings_by_Sales_Executive[[#This Row],[Total Revenue]]/Bookings_by_Sales_Executive[[#This Row],[Total Bookings]]&gt;1000000,"Execllent",IF(Bookings_by_Sales_Executive[[#This Row],[Total Revenue]]/Bookings_by_Sales_Executive[[#This Row],[Total Bookings]]&gt;=800000,"Good","Below Target"))</f>
        <v>Execllent</v>
      </c>
    </row>
    <row r="21" spans="1:4" x14ac:dyDescent="0.3">
      <c r="A21" t="s">
        <v>13</v>
      </c>
      <c r="B21">
        <f>COUNTIFS('Cleaned Data'!C:C,'MIS Summary'!A21)</f>
        <v>106</v>
      </c>
      <c r="C21">
        <f>SUMIFS('Cleaned Data'!G:G,'Cleaned Data'!C:C,'MIS Summary'!A21)</f>
        <v>703600000</v>
      </c>
      <c r="D21" t="str">
        <f>IF(Bookings_by_Sales_Executive[[#This Row],[Total Revenue]]/Bookings_by_Sales_Executive[[#This Row],[Total Bookings]]&gt;1000000,"Execllent",IF(Bookings_by_Sales_Executive[[#This Row],[Total Revenue]]/Bookings_by_Sales_Executive[[#This Row],[Total Bookings]]&gt;=800000,"Good","Below Target"))</f>
        <v>Execllent</v>
      </c>
    </row>
    <row r="22" spans="1:4" x14ac:dyDescent="0.3">
      <c r="A22" t="s">
        <v>28</v>
      </c>
      <c r="B22">
        <f>COUNTIFS('Cleaned Data'!C:C,'MIS Summary'!A22)</f>
        <v>69</v>
      </c>
      <c r="C22">
        <f>SUMIFS('Cleaned Data'!G:G,'Cleaned Data'!C:C,'MIS Summary'!A22)</f>
        <v>492650000</v>
      </c>
      <c r="D22" t="str">
        <f>IF(Bookings_by_Sales_Executive[[#This Row],[Total Revenue]]/Bookings_by_Sales_Executive[[#This Row],[Total Bookings]]&gt;1000000,"Execllent",IF(Bookings_by_Sales_Executive[[#This Row],[Total Revenue]]/Bookings_by_Sales_Executive[[#This Row],[Total Bookings]]&gt;=800000,"Good","Below Target"))</f>
        <v>Execllent</v>
      </c>
    </row>
  </sheetData>
  <conditionalFormatting sqref="B18:B22">
    <cfRule type="colorScale" priority="1">
      <colorScale>
        <cfvo type="min"/>
        <cfvo type="percentile" val="50"/>
        <cfvo type="max"/>
        <color rgb="FFF8696B"/>
        <color rgb="FFFFEB84"/>
        <color rgb="FF63BE7B"/>
      </colorScale>
    </cfRule>
  </conditionalFormatting>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B87D-1AA9-44DC-B079-53D4A612444E}">
  <dimension ref="A1:E6"/>
  <sheetViews>
    <sheetView workbookViewId="0">
      <selection activeCell="D17" sqref="D17"/>
    </sheetView>
  </sheetViews>
  <sheetFormatPr defaultRowHeight="14.4" x14ac:dyDescent="0.3"/>
  <cols>
    <col min="1" max="1" width="13.33203125" bestFit="1" customWidth="1"/>
    <col min="2" max="2" width="12.5546875" bestFit="1" customWidth="1"/>
    <col min="3" max="3" width="16.88671875" bestFit="1" customWidth="1"/>
    <col min="4" max="4" width="10.21875" bestFit="1" customWidth="1"/>
    <col min="5" max="5" width="8.21875" bestFit="1" customWidth="1"/>
  </cols>
  <sheetData>
    <row r="1" spans="1:5" x14ac:dyDescent="0.3">
      <c r="A1" s="3" t="s">
        <v>489</v>
      </c>
      <c r="B1" s="3" t="s">
        <v>496</v>
      </c>
      <c r="C1" s="3" t="s">
        <v>497</v>
      </c>
      <c r="D1" s="3" t="s">
        <v>492</v>
      </c>
      <c r="E1" s="3" t="s">
        <v>493</v>
      </c>
    </row>
    <row r="2" spans="1:5" x14ac:dyDescent="0.3">
      <c r="A2" s="2" t="str" cm="1">
        <f t="array" ref="A2:A6">_xlfn.UNIQUE('Cleaned Data'!C2:C431)</f>
        <v>Pooja Desai</v>
      </c>
      <c r="B2" s="2">
        <v>680000000</v>
      </c>
      <c r="C2" s="2">
        <f>SUMIFS('Cleaned Data'!G:G,'Cleaned Data'!C:C,A2)</f>
        <v>703600000</v>
      </c>
      <c r="D2" s="4">
        <f>C2/B2</f>
        <v>1.0347058823529411</v>
      </c>
      <c r="E2" s="2" t="str">
        <f>IF(D2&gt;=1,"Excellent",IF(D2&gt;=0.8,"Good","Below Target"))</f>
        <v>Excellent</v>
      </c>
    </row>
    <row r="3" spans="1:5" x14ac:dyDescent="0.3">
      <c r="A3" s="2" t="str">
        <v>Ravi Patel</v>
      </c>
      <c r="B3" s="2">
        <v>550000000</v>
      </c>
      <c r="C3" s="2">
        <f>SUMIFS('Cleaned Data'!G:G,'Cleaned Data'!C:C,A3)</f>
        <v>488600000</v>
      </c>
      <c r="D3" s="4">
        <f t="shared" ref="D3:D6" si="0">C3/B3</f>
        <v>0.88836363636363636</v>
      </c>
      <c r="E3" s="2" t="str">
        <f t="shared" ref="E3:E6" si="1">IF(D3&gt;=1,"Excellent",IF(D3&gt;=0.8,"Good","Below Target"))</f>
        <v>Good</v>
      </c>
    </row>
    <row r="4" spans="1:5" x14ac:dyDescent="0.3">
      <c r="A4" s="2" t="str">
        <v>Karan Mehta</v>
      </c>
      <c r="B4" s="2">
        <v>550000000</v>
      </c>
      <c r="C4" s="2">
        <f>SUMIFS('Cleaned Data'!G:G,'Cleaned Data'!C:C,A4)</f>
        <v>492650000</v>
      </c>
      <c r="D4" s="4">
        <f t="shared" si="0"/>
        <v>0.89572727272727271</v>
      </c>
      <c r="E4" s="2" t="str">
        <f t="shared" si="1"/>
        <v>Good</v>
      </c>
    </row>
    <row r="5" spans="1:5" x14ac:dyDescent="0.3">
      <c r="A5" s="2" t="str">
        <v>Meena Shah</v>
      </c>
      <c r="B5" s="2">
        <v>650000000</v>
      </c>
      <c r="C5" s="2">
        <f>SUMIFS('Cleaned Data'!G:G,'Cleaned Data'!C:C,A5)</f>
        <v>595800000</v>
      </c>
      <c r="D5" s="4">
        <f t="shared" si="0"/>
        <v>0.91661538461538461</v>
      </c>
      <c r="E5" s="2" t="str">
        <f t="shared" si="1"/>
        <v>Good</v>
      </c>
    </row>
    <row r="6" spans="1:5" x14ac:dyDescent="0.3">
      <c r="A6" s="2" t="str">
        <v>Amit Verma</v>
      </c>
      <c r="B6" s="2">
        <v>620000000</v>
      </c>
      <c r="C6" s="2">
        <f>SUMIFS('Cleaned Data'!G:G,'Cleaned Data'!C:C,A6)</f>
        <v>563850000</v>
      </c>
      <c r="D6" s="4">
        <f t="shared" si="0"/>
        <v>0.90943548387096773</v>
      </c>
      <c r="E6" s="2" t="str">
        <f t="shared" si="1"/>
        <v>Good</v>
      </c>
    </row>
  </sheetData>
  <conditionalFormatting sqref="E2:E6">
    <cfRule type="cellIs" dxfId="4" priority="1" operator="equal">
      <formula>"Good"</formula>
    </cfRule>
    <cfRule type="cellIs" dxfId="3" priority="2" operator="equal">
      <formula>"Excellent"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1A8A-721C-4696-BD33-26A718DFBF15}">
  <dimension ref="A1:E6"/>
  <sheetViews>
    <sheetView workbookViewId="0">
      <selection activeCell="F15" sqref="F15"/>
    </sheetView>
  </sheetViews>
  <sheetFormatPr defaultRowHeight="14.4" x14ac:dyDescent="0.3"/>
  <cols>
    <col min="1" max="1" width="15.77734375" customWidth="1"/>
    <col min="2" max="2" width="14.88671875" customWidth="1"/>
    <col min="3" max="3" width="19" customWidth="1"/>
    <col min="4" max="4" width="12.44140625" customWidth="1"/>
    <col min="5" max="5" width="11.21875" bestFit="1" customWidth="1"/>
  </cols>
  <sheetData>
    <row r="1" spans="1:5" x14ac:dyDescent="0.3">
      <c r="A1" t="s">
        <v>489</v>
      </c>
      <c r="B1" t="s">
        <v>503</v>
      </c>
      <c r="C1" t="s">
        <v>504</v>
      </c>
      <c r="D1" t="s">
        <v>492</v>
      </c>
      <c r="E1" t="s">
        <v>493</v>
      </c>
    </row>
    <row r="2" spans="1:5" x14ac:dyDescent="0.3">
      <c r="A2" t="s">
        <v>13</v>
      </c>
      <c r="B2">
        <v>55000000</v>
      </c>
      <c r="C2">
        <f>SUMIFS('Cleaned Data'!G:G,'Cleaned Data'!C:C,A2,'Cleaned Data'!B:B,"&gt;="&amp;DATE(2024,12,1),'Cleaned Data'!B:B,"&lt;="&amp;DATE(2024,12,31))</f>
        <v>47000000</v>
      </c>
      <c r="D2" s="10">
        <f>C2/B2</f>
        <v>0.8545454545454545</v>
      </c>
      <c r="E2" s="8" t="str">
        <f>IF(D2&gt;=1,"Excellent",IF(D2&gt;=0.8,"Good","Below Target"))</f>
        <v>Good</v>
      </c>
    </row>
    <row r="3" spans="1:5" x14ac:dyDescent="0.3">
      <c r="A3" t="s">
        <v>22</v>
      </c>
      <c r="B3">
        <v>45000000</v>
      </c>
      <c r="C3">
        <f>SUMIFS('Cleaned Data'!G:G,'Cleaned Data'!C:C,A3,'Cleaned Data'!B:B,"&gt;="&amp;DATE(2024,12,1),'Cleaned Data'!B:B,"&lt;="&amp;DATE(2024,12,31))</f>
        <v>41700000</v>
      </c>
      <c r="D3" s="10">
        <f t="shared" ref="D3:D6" si="0">C3/B3</f>
        <v>0.92666666666666664</v>
      </c>
      <c r="E3" s="8" t="str">
        <f t="shared" ref="E3:E6" si="1">IF(D3&gt;=1,"Excellent",IF(D3&gt;=0.8,"Good","Below Target"))</f>
        <v>Good</v>
      </c>
    </row>
    <row r="4" spans="1:5" x14ac:dyDescent="0.3">
      <c r="A4" t="s">
        <v>28</v>
      </c>
      <c r="B4">
        <v>35000000</v>
      </c>
      <c r="C4">
        <f>SUMIFS('Cleaned Data'!G:G,'Cleaned Data'!C:C,A4,'Cleaned Data'!B:B,"&gt;="&amp;DATE(2024,12,1),'Cleaned Data'!B:B,"&lt;="&amp;DATE(2024,12,31))</f>
        <v>33350000</v>
      </c>
      <c r="D4" s="10">
        <f t="shared" si="0"/>
        <v>0.95285714285714285</v>
      </c>
      <c r="E4" s="8" t="str">
        <f t="shared" si="1"/>
        <v>Good</v>
      </c>
    </row>
    <row r="5" spans="1:5" x14ac:dyDescent="0.3">
      <c r="A5" t="s">
        <v>31</v>
      </c>
      <c r="B5">
        <v>50000000</v>
      </c>
      <c r="C5">
        <f>SUMIFS('Cleaned Data'!G:G,'Cleaned Data'!C:C,A5,'Cleaned Data'!B:B,"&gt;="&amp;DATE(2024,12,1),'Cleaned Data'!B:B,"&lt;="&amp;DATE(2024,12,31))</f>
        <v>91000000</v>
      </c>
      <c r="D5" s="10">
        <f t="shared" si="0"/>
        <v>1.82</v>
      </c>
      <c r="E5" s="9" t="str">
        <f t="shared" si="1"/>
        <v>Excellent</v>
      </c>
    </row>
    <row r="6" spans="1:5" x14ac:dyDescent="0.3">
      <c r="A6" t="s">
        <v>35</v>
      </c>
      <c r="B6">
        <v>30000000</v>
      </c>
      <c r="C6">
        <f>SUMIFS('Cleaned Data'!G:G,'Cleaned Data'!C:C,A6,'Cleaned Data'!B:B,"&gt;="&amp;DATE(2024,12,1),'Cleaned Data'!B:B,"&lt;="&amp;DATE(2024,12,31))</f>
        <v>26450000</v>
      </c>
      <c r="D6" s="10">
        <f t="shared" si="0"/>
        <v>0.88166666666666671</v>
      </c>
      <c r="E6" s="8" t="str">
        <f t="shared" si="1"/>
        <v>Good</v>
      </c>
    </row>
  </sheetData>
  <conditionalFormatting sqref="E2:E6">
    <cfRule type="containsText" dxfId="2" priority="1" operator="containsText" text="Excellent">
      <formula>NOT(ISERROR(SEARCH("Excellent",E2)))</formula>
    </cfRule>
    <cfRule type="containsText" dxfId="1" priority="2" operator="containsText" text="Below Target">
      <formula>NOT(ISERROR(SEARCH("Below Target",E2)))</formula>
    </cfRule>
    <cfRule type="colorScale" priority="4">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0E58-8D54-486E-92A3-16DAA4B1E0BA}">
  <dimension ref="A1:E6"/>
  <sheetViews>
    <sheetView workbookViewId="0">
      <selection activeCell="B2" sqref="B2"/>
    </sheetView>
  </sheetViews>
  <sheetFormatPr defaultRowHeight="14.4" x14ac:dyDescent="0.3"/>
  <cols>
    <col min="1" max="1" width="16.21875" bestFit="1" customWidth="1"/>
    <col min="2" max="2" width="15.33203125" bestFit="1" customWidth="1"/>
    <col min="3" max="3" width="19.5546875" bestFit="1" customWidth="1"/>
    <col min="4" max="4" width="12.77734375" bestFit="1" customWidth="1"/>
    <col min="5" max="5" width="11.44140625" bestFit="1" customWidth="1"/>
  </cols>
  <sheetData>
    <row r="1" spans="1:5" x14ac:dyDescent="0.3">
      <c r="A1" t="s">
        <v>489</v>
      </c>
      <c r="B1" t="s">
        <v>506</v>
      </c>
      <c r="C1" t="s">
        <v>505</v>
      </c>
      <c r="D1" t="s">
        <v>492</v>
      </c>
      <c r="E1" t="s">
        <v>493</v>
      </c>
    </row>
    <row r="2" spans="1:5" x14ac:dyDescent="0.3">
      <c r="A2" t="s">
        <v>13</v>
      </c>
      <c r="B2">
        <v>55000000</v>
      </c>
      <c r="C2">
        <f ca="1">SUMIFS('Cleaned Data'!G:G,'Cleaned Data'!C:C,A2,'Cleaned Data'!B:B,TODAY())</f>
        <v>0</v>
      </c>
      <c r="D2">
        <f ca="1">C2/B2</f>
        <v>0</v>
      </c>
      <c r="E2" t="str">
        <f ca="1">IF(D2&gt;=1,"Excellent",IF(D2&gt;=0.8,"Good","Below Target"))</f>
        <v>Below Target</v>
      </c>
    </row>
    <row r="3" spans="1:5" x14ac:dyDescent="0.3">
      <c r="A3" t="s">
        <v>22</v>
      </c>
      <c r="B3">
        <v>45000000</v>
      </c>
      <c r="C3">
        <f ca="1">SUMIFS('Cleaned Data'!G:G,'Cleaned Data'!C:C,A3,'Cleaned Data'!B:B,TODAY())</f>
        <v>0</v>
      </c>
      <c r="D3">
        <f t="shared" ref="D3:D6" ca="1" si="0">C3/B3</f>
        <v>0</v>
      </c>
      <c r="E3" t="str">
        <f t="shared" ref="E3:E6" ca="1" si="1">IF(D3&gt;=1,"Excellent",IF(D3&gt;=0.8,"Good","Below Target"))</f>
        <v>Below Target</v>
      </c>
    </row>
    <row r="4" spans="1:5" x14ac:dyDescent="0.3">
      <c r="A4" t="s">
        <v>28</v>
      </c>
      <c r="B4">
        <v>35000000</v>
      </c>
      <c r="C4">
        <f ca="1">SUMIFS('Cleaned Data'!G:G,'Cleaned Data'!C:C,A4,'Cleaned Data'!B:B,TODAY())</f>
        <v>0</v>
      </c>
      <c r="D4">
        <f t="shared" ca="1" si="0"/>
        <v>0</v>
      </c>
      <c r="E4" t="str">
        <f t="shared" ca="1" si="1"/>
        <v>Below Target</v>
      </c>
    </row>
    <row r="5" spans="1:5" x14ac:dyDescent="0.3">
      <c r="A5" t="s">
        <v>31</v>
      </c>
      <c r="B5">
        <v>50000000</v>
      </c>
      <c r="C5">
        <f ca="1">SUMIFS('Cleaned Data'!G:G,'Cleaned Data'!C:C,A5,'Cleaned Data'!B:B,TODAY())</f>
        <v>0</v>
      </c>
      <c r="D5">
        <f t="shared" ca="1" si="0"/>
        <v>0</v>
      </c>
      <c r="E5" t="str">
        <f t="shared" ca="1" si="1"/>
        <v>Below Target</v>
      </c>
    </row>
    <row r="6" spans="1:5" x14ac:dyDescent="0.3">
      <c r="A6" t="s">
        <v>35</v>
      </c>
      <c r="B6">
        <v>30000000</v>
      </c>
      <c r="C6">
        <f ca="1">SUMIFS('Cleaned Data'!G:G,'Cleaned Data'!C:C,A6,'Cleaned Data'!B:B,TODAY())</f>
        <v>0</v>
      </c>
      <c r="D6">
        <f t="shared" ca="1" si="0"/>
        <v>0</v>
      </c>
      <c r="E6" t="str">
        <f t="shared" ca="1" si="1"/>
        <v>Below Target</v>
      </c>
    </row>
  </sheetData>
  <conditionalFormatting sqref="E2:E6">
    <cfRule type="containsText" dxfId="0" priority="1" operator="containsText" text="Below Target">
      <formula>NOT(ISERROR(SEARCH("Below Target",E2)))</formula>
    </cfRule>
    <cfRule type="colorScale" priority="2">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DC68-ABCF-4F0A-B5B4-AFA9079D7F0C}">
  <dimension ref="A1:L431"/>
  <sheetViews>
    <sheetView workbookViewId="0">
      <selection activeCell="A2" sqref="A2"/>
    </sheetView>
  </sheetViews>
  <sheetFormatPr defaultRowHeight="14.4" x14ac:dyDescent="0.3"/>
  <cols>
    <col min="1" max="1" width="12.33203125" bestFit="1" customWidth="1"/>
    <col min="2" max="2" width="14.44140625" bestFit="1" customWidth="1"/>
    <col min="3" max="3" width="16.6640625" bestFit="1" customWidth="1"/>
    <col min="4" max="4" width="15" bestFit="1" customWidth="1"/>
    <col min="5" max="5" width="10.33203125" bestFit="1" customWidth="1"/>
    <col min="6" max="6" width="11.109375" bestFit="1" customWidth="1"/>
    <col min="7" max="7" width="17.109375" bestFit="1" customWidth="1"/>
    <col min="8" max="8" width="18.21875" bestFit="1" customWidth="1"/>
    <col min="9" max="9" width="16.77734375" bestFit="1" customWidth="1"/>
    <col min="10" max="10" width="17.21875" bestFit="1" customWidth="1"/>
    <col min="11" max="11" width="13.6640625" bestFit="1" customWidth="1"/>
    <col min="12" max="12" width="15.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s="7">
        <v>45575</v>
      </c>
      <c r="C2" t="s">
        <v>13</v>
      </c>
      <c r="D2" t="s">
        <v>14</v>
      </c>
      <c r="E2" t="s">
        <v>15</v>
      </c>
      <c r="F2" t="s">
        <v>16</v>
      </c>
      <c r="G2">
        <v>5900000</v>
      </c>
      <c r="H2">
        <v>0</v>
      </c>
      <c r="I2" t="s">
        <v>17</v>
      </c>
      <c r="J2" s="7">
        <v>46082</v>
      </c>
      <c r="K2">
        <v>8500000</v>
      </c>
      <c r="L2" t="s">
        <v>18</v>
      </c>
    </row>
    <row r="3" spans="1:12" x14ac:dyDescent="0.3">
      <c r="A3" t="s">
        <v>19</v>
      </c>
      <c r="B3" s="7">
        <v>45508</v>
      </c>
      <c r="C3" t="s">
        <v>13</v>
      </c>
      <c r="D3" t="s">
        <v>14</v>
      </c>
      <c r="E3" t="s">
        <v>15</v>
      </c>
      <c r="F3" t="s">
        <v>16</v>
      </c>
      <c r="G3">
        <v>4200000</v>
      </c>
      <c r="H3">
        <v>4200000</v>
      </c>
      <c r="I3" t="s">
        <v>20</v>
      </c>
      <c r="J3" s="7">
        <v>45768</v>
      </c>
      <c r="K3">
        <v>8500000</v>
      </c>
      <c r="L3" t="s">
        <v>502</v>
      </c>
    </row>
    <row r="4" spans="1:12" x14ac:dyDescent="0.3">
      <c r="A4" t="s">
        <v>21</v>
      </c>
      <c r="B4" s="7">
        <v>45387</v>
      </c>
      <c r="C4" t="s">
        <v>22</v>
      </c>
      <c r="D4" t="s">
        <v>23</v>
      </c>
      <c r="E4" t="s">
        <v>24</v>
      </c>
      <c r="F4" t="s">
        <v>25</v>
      </c>
      <c r="G4">
        <v>3500000</v>
      </c>
      <c r="H4">
        <v>900000</v>
      </c>
      <c r="I4" t="s">
        <v>26</v>
      </c>
      <c r="J4" s="7">
        <v>46086</v>
      </c>
      <c r="K4">
        <v>8000000</v>
      </c>
      <c r="L4" t="s">
        <v>502</v>
      </c>
    </row>
    <row r="5" spans="1:12" x14ac:dyDescent="0.3">
      <c r="A5" t="s">
        <v>27</v>
      </c>
      <c r="B5" s="7">
        <v>45302</v>
      </c>
      <c r="C5" t="s">
        <v>28</v>
      </c>
      <c r="D5" t="s">
        <v>14</v>
      </c>
      <c r="E5" t="s">
        <v>15</v>
      </c>
      <c r="F5" t="s">
        <v>16</v>
      </c>
      <c r="G5">
        <v>5400000</v>
      </c>
      <c r="H5">
        <v>5400000</v>
      </c>
      <c r="I5" t="s">
        <v>20</v>
      </c>
      <c r="J5" s="7">
        <v>46059</v>
      </c>
      <c r="K5">
        <v>7000000</v>
      </c>
      <c r="L5" t="s">
        <v>29</v>
      </c>
    </row>
    <row r="6" spans="1:12" x14ac:dyDescent="0.3">
      <c r="A6" t="s">
        <v>30</v>
      </c>
      <c r="B6" s="7">
        <v>45555</v>
      </c>
      <c r="C6" t="s">
        <v>31</v>
      </c>
      <c r="D6" t="s">
        <v>23</v>
      </c>
      <c r="E6" t="s">
        <v>24</v>
      </c>
      <c r="F6" t="s">
        <v>16</v>
      </c>
      <c r="G6">
        <v>5150000</v>
      </c>
      <c r="H6">
        <v>5150000</v>
      </c>
      <c r="I6" t="s">
        <v>20</v>
      </c>
      <c r="J6" s="7">
        <v>46319</v>
      </c>
      <c r="K6">
        <v>7500000</v>
      </c>
      <c r="L6" t="s">
        <v>502</v>
      </c>
    </row>
    <row r="7" spans="1:12" x14ac:dyDescent="0.3">
      <c r="A7" t="s">
        <v>32</v>
      </c>
      <c r="B7" s="7">
        <v>45485</v>
      </c>
      <c r="C7" t="s">
        <v>13</v>
      </c>
      <c r="D7" t="s">
        <v>14</v>
      </c>
      <c r="E7" t="s">
        <v>15</v>
      </c>
      <c r="F7" t="s">
        <v>33</v>
      </c>
      <c r="G7">
        <v>7950000</v>
      </c>
      <c r="H7">
        <v>7950000</v>
      </c>
      <c r="I7" t="s">
        <v>20</v>
      </c>
      <c r="J7" s="7">
        <v>45847</v>
      </c>
      <c r="K7">
        <v>8500000</v>
      </c>
      <c r="L7" t="s">
        <v>502</v>
      </c>
    </row>
    <row r="8" spans="1:12" x14ac:dyDescent="0.3">
      <c r="A8" t="s">
        <v>34</v>
      </c>
      <c r="B8" s="7">
        <v>45519</v>
      </c>
      <c r="C8" t="s">
        <v>35</v>
      </c>
      <c r="D8" t="s">
        <v>14</v>
      </c>
      <c r="E8" t="s">
        <v>15</v>
      </c>
      <c r="F8" t="s">
        <v>16</v>
      </c>
      <c r="G8">
        <v>4200000</v>
      </c>
      <c r="H8">
        <v>4200000</v>
      </c>
      <c r="I8" t="s">
        <v>20</v>
      </c>
      <c r="J8" s="7">
        <v>46140</v>
      </c>
      <c r="K8">
        <v>9000000</v>
      </c>
      <c r="L8" t="s">
        <v>502</v>
      </c>
    </row>
    <row r="9" spans="1:12" x14ac:dyDescent="0.3">
      <c r="A9" t="s">
        <v>36</v>
      </c>
      <c r="B9" s="7">
        <v>45515</v>
      </c>
      <c r="C9" t="s">
        <v>13</v>
      </c>
      <c r="D9" t="s">
        <v>23</v>
      </c>
      <c r="E9" t="s">
        <v>24</v>
      </c>
      <c r="F9" t="s">
        <v>16</v>
      </c>
      <c r="G9">
        <v>4400000</v>
      </c>
      <c r="H9">
        <v>1350000</v>
      </c>
      <c r="I9" t="s">
        <v>26</v>
      </c>
      <c r="J9" s="7">
        <v>46071</v>
      </c>
      <c r="K9">
        <v>8500000</v>
      </c>
      <c r="L9" t="s">
        <v>502</v>
      </c>
    </row>
    <row r="10" spans="1:12" x14ac:dyDescent="0.3">
      <c r="A10" t="s">
        <v>37</v>
      </c>
      <c r="B10" s="7">
        <v>45544</v>
      </c>
      <c r="C10" t="s">
        <v>31</v>
      </c>
      <c r="D10" t="s">
        <v>23</v>
      </c>
      <c r="E10" t="s">
        <v>24</v>
      </c>
      <c r="F10" t="s">
        <v>16</v>
      </c>
      <c r="G10">
        <v>4900000</v>
      </c>
      <c r="H10">
        <v>4900000</v>
      </c>
      <c r="I10" t="s">
        <v>20</v>
      </c>
      <c r="J10" s="7">
        <v>46219</v>
      </c>
      <c r="K10">
        <v>7500000</v>
      </c>
      <c r="L10" t="s">
        <v>38</v>
      </c>
    </row>
    <row r="11" spans="1:12" x14ac:dyDescent="0.3">
      <c r="A11" t="s">
        <v>39</v>
      </c>
      <c r="B11" s="7">
        <v>45462</v>
      </c>
      <c r="C11" t="s">
        <v>31</v>
      </c>
      <c r="D11" t="s">
        <v>14</v>
      </c>
      <c r="E11" t="s">
        <v>15</v>
      </c>
      <c r="F11" t="s">
        <v>33</v>
      </c>
      <c r="G11">
        <v>8650000</v>
      </c>
      <c r="H11">
        <v>8650000</v>
      </c>
      <c r="I11" t="s">
        <v>20</v>
      </c>
      <c r="J11" s="7">
        <v>45999</v>
      </c>
      <c r="K11">
        <v>7500000</v>
      </c>
      <c r="L11" t="s">
        <v>40</v>
      </c>
    </row>
    <row r="12" spans="1:12" x14ac:dyDescent="0.3">
      <c r="A12" t="s">
        <v>41</v>
      </c>
      <c r="B12" s="7">
        <v>45529</v>
      </c>
      <c r="C12" t="s">
        <v>35</v>
      </c>
      <c r="D12" t="s">
        <v>14</v>
      </c>
      <c r="E12" t="s">
        <v>15</v>
      </c>
      <c r="F12" t="s">
        <v>16</v>
      </c>
      <c r="G12">
        <v>5700000</v>
      </c>
      <c r="H12">
        <v>0</v>
      </c>
      <c r="I12" t="s">
        <v>17</v>
      </c>
      <c r="J12" s="7">
        <v>46020</v>
      </c>
      <c r="K12">
        <v>9000000</v>
      </c>
      <c r="L12" t="s">
        <v>42</v>
      </c>
    </row>
    <row r="13" spans="1:12" x14ac:dyDescent="0.3">
      <c r="A13" t="s">
        <v>43</v>
      </c>
      <c r="B13" s="7">
        <v>45524</v>
      </c>
      <c r="C13" t="s">
        <v>35</v>
      </c>
      <c r="D13" t="s">
        <v>44</v>
      </c>
      <c r="E13" t="s">
        <v>45</v>
      </c>
      <c r="F13" t="s">
        <v>16</v>
      </c>
      <c r="G13">
        <v>5250000</v>
      </c>
      <c r="H13">
        <v>1800000</v>
      </c>
      <c r="I13" t="s">
        <v>26</v>
      </c>
      <c r="J13" s="7">
        <v>46084</v>
      </c>
      <c r="K13">
        <v>9000000</v>
      </c>
      <c r="L13" t="s">
        <v>38</v>
      </c>
    </row>
    <row r="14" spans="1:12" x14ac:dyDescent="0.3">
      <c r="A14" t="s">
        <v>46</v>
      </c>
      <c r="B14" s="7">
        <v>45471</v>
      </c>
      <c r="C14" t="s">
        <v>13</v>
      </c>
      <c r="D14" t="s">
        <v>23</v>
      </c>
      <c r="E14" t="s">
        <v>24</v>
      </c>
      <c r="F14" t="s">
        <v>33</v>
      </c>
      <c r="G14">
        <v>8300000</v>
      </c>
      <c r="H14">
        <v>8300000</v>
      </c>
      <c r="I14" t="s">
        <v>20</v>
      </c>
      <c r="J14" s="7">
        <v>46305</v>
      </c>
      <c r="K14">
        <v>8500000</v>
      </c>
      <c r="L14" t="s">
        <v>42</v>
      </c>
    </row>
    <row r="15" spans="1:12" x14ac:dyDescent="0.3">
      <c r="A15" t="s">
        <v>47</v>
      </c>
      <c r="B15" s="7">
        <v>45428</v>
      </c>
      <c r="C15" t="s">
        <v>28</v>
      </c>
      <c r="D15" t="s">
        <v>44</v>
      </c>
      <c r="E15" t="s">
        <v>45</v>
      </c>
      <c r="F15" t="s">
        <v>25</v>
      </c>
      <c r="G15">
        <v>3300000</v>
      </c>
      <c r="H15">
        <v>3300000</v>
      </c>
      <c r="I15" t="s">
        <v>20</v>
      </c>
      <c r="J15" s="7">
        <v>46197</v>
      </c>
      <c r="K15">
        <v>7000000</v>
      </c>
      <c r="L15" t="s">
        <v>502</v>
      </c>
    </row>
    <row r="16" spans="1:12" x14ac:dyDescent="0.3">
      <c r="A16" t="s">
        <v>48</v>
      </c>
      <c r="B16" s="7">
        <v>45365</v>
      </c>
      <c r="C16" t="s">
        <v>35</v>
      </c>
      <c r="D16" t="s">
        <v>23</v>
      </c>
      <c r="E16" t="s">
        <v>24</v>
      </c>
      <c r="F16" t="s">
        <v>33</v>
      </c>
      <c r="G16">
        <v>8950000</v>
      </c>
      <c r="H16">
        <v>3300000</v>
      </c>
      <c r="I16" t="s">
        <v>26</v>
      </c>
      <c r="J16" s="7">
        <v>45953</v>
      </c>
      <c r="K16">
        <v>9000000</v>
      </c>
      <c r="L16" t="s">
        <v>40</v>
      </c>
    </row>
    <row r="17" spans="1:12" x14ac:dyDescent="0.3">
      <c r="A17" t="s">
        <v>49</v>
      </c>
      <c r="B17" s="7">
        <v>45574</v>
      </c>
      <c r="C17" t="s">
        <v>13</v>
      </c>
      <c r="D17" t="s">
        <v>23</v>
      </c>
      <c r="E17" t="s">
        <v>24</v>
      </c>
      <c r="F17" t="s">
        <v>33</v>
      </c>
      <c r="G17">
        <v>7700000</v>
      </c>
      <c r="H17">
        <v>7700000</v>
      </c>
      <c r="I17" t="s">
        <v>20</v>
      </c>
      <c r="J17" s="7">
        <v>46268</v>
      </c>
      <c r="K17">
        <v>8500000</v>
      </c>
      <c r="L17" t="s">
        <v>502</v>
      </c>
    </row>
    <row r="18" spans="1:12" x14ac:dyDescent="0.3">
      <c r="A18" t="s">
        <v>50</v>
      </c>
      <c r="B18" s="7">
        <v>45568</v>
      </c>
      <c r="C18" t="s">
        <v>28</v>
      </c>
      <c r="D18" t="s">
        <v>23</v>
      </c>
      <c r="E18" t="s">
        <v>24</v>
      </c>
      <c r="F18" t="s">
        <v>51</v>
      </c>
      <c r="G18">
        <v>10600000</v>
      </c>
      <c r="H18">
        <v>2250000</v>
      </c>
      <c r="I18" t="s">
        <v>26</v>
      </c>
      <c r="J18" s="7">
        <v>45914</v>
      </c>
      <c r="K18">
        <v>7000000</v>
      </c>
      <c r="L18" t="s">
        <v>52</v>
      </c>
    </row>
    <row r="19" spans="1:12" x14ac:dyDescent="0.3">
      <c r="A19" t="s">
        <v>53</v>
      </c>
      <c r="B19" s="7">
        <v>45313</v>
      </c>
      <c r="C19" t="s">
        <v>13</v>
      </c>
      <c r="D19" t="s">
        <v>23</v>
      </c>
      <c r="E19" t="s">
        <v>24</v>
      </c>
      <c r="F19" t="s">
        <v>25</v>
      </c>
      <c r="G19">
        <v>3250000</v>
      </c>
      <c r="H19">
        <v>0</v>
      </c>
      <c r="I19" t="s">
        <v>17</v>
      </c>
      <c r="J19" s="7">
        <v>45746</v>
      </c>
      <c r="K19">
        <v>8500000</v>
      </c>
      <c r="L19" t="s">
        <v>18</v>
      </c>
    </row>
    <row r="20" spans="1:12" x14ac:dyDescent="0.3">
      <c r="A20" t="s">
        <v>54</v>
      </c>
      <c r="B20" s="7">
        <v>45522</v>
      </c>
      <c r="C20" t="s">
        <v>28</v>
      </c>
      <c r="D20" t="s">
        <v>14</v>
      </c>
      <c r="E20" t="s">
        <v>15</v>
      </c>
      <c r="F20" t="s">
        <v>16</v>
      </c>
      <c r="G20">
        <v>4600000</v>
      </c>
      <c r="H20">
        <v>0</v>
      </c>
      <c r="I20" t="s">
        <v>17</v>
      </c>
      <c r="J20" s="7">
        <v>45991</v>
      </c>
      <c r="K20">
        <v>7000000</v>
      </c>
      <c r="L20" t="s">
        <v>502</v>
      </c>
    </row>
    <row r="21" spans="1:12" x14ac:dyDescent="0.3">
      <c r="A21" t="s">
        <v>55</v>
      </c>
      <c r="B21" s="7">
        <v>45427</v>
      </c>
      <c r="C21" t="s">
        <v>13</v>
      </c>
      <c r="D21" t="s">
        <v>23</v>
      </c>
      <c r="E21" t="s">
        <v>24</v>
      </c>
      <c r="F21" t="s">
        <v>16</v>
      </c>
      <c r="G21">
        <v>4650000</v>
      </c>
      <c r="H21">
        <v>4650000</v>
      </c>
      <c r="I21" t="s">
        <v>20</v>
      </c>
      <c r="J21" s="7">
        <v>45616</v>
      </c>
      <c r="K21">
        <v>8500000</v>
      </c>
      <c r="L21" t="s">
        <v>502</v>
      </c>
    </row>
    <row r="22" spans="1:12" x14ac:dyDescent="0.3">
      <c r="A22" t="s">
        <v>57</v>
      </c>
      <c r="B22" s="7">
        <v>45596</v>
      </c>
      <c r="C22" t="s">
        <v>22</v>
      </c>
      <c r="D22" t="s">
        <v>14</v>
      </c>
      <c r="E22" t="s">
        <v>15</v>
      </c>
      <c r="F22" t="s">
        <v>33</v>
      </c>
      <c r="G22">
        <v>8000000</v>
      </c>
      <c r="H22">
        <v>8000000</v>
      </c>
      <c r="I22" t="s">
        <v>20</v>
      </c>
      <c r="J22" s="7">
        <v>46438</v>
      </c>
      <c r="K22">
        <v>8000000</v>
      </c>
      <c r="L22" t="s">
        <v>42</v>
      </c>
    </row>
    <row r="23" spans="1:12" x14ac:dyDescent="0.3">
      <c r="A23" t="s">
        <v>59</v>
      </c>
      <c r="B23" s="7">
        <v>45331</v>
      </c>
      <c r="C23" t="s">
        <v>28</v>
      </c>
      <c r="D23" t="s">
        <v>14</v>
      </c>
      <c r="E23" t="s">
        <v>15</v>
      </c>
      <c r="F23" t="s">
        <v>16</v>
      </c>
      <c r="G23">
        <v>4450000</v>
      </c>
      <c r="H23">
        <v>1750000</v>
      </c>
      <c r="I23" t="s">
        <v>26</v>
      </c>
      <c r="J23" s="7">
        <v>45921</v>
      </c>
      <c r="K23">
        <v>7000000</v>
      </c>
      <c r="L23" t="s">
        <v>38</v>
      </c>
    </row>
    <row r="24" spans="1:12" x14ac:dyDescent="0.3">
      <c r="A24" t="s">
        <v>60</v>
      </c>
      <c r="B24" s="7">
        <v>45532</v>
      </c>
      <c r="C24" t="s">
        <v>13</v>
      </c>
      <c r="D24" t="s">
        <v>14</v>
      </c>
      <c r="E24" t="s">
        <v>15</v>
      </c>
      <c r="F24" t="s">
        <v>25</v>
      </c>
      <c r="G24">
        <v>2750000</v>
      </c>
      <c r="H24">
        <v>350000</v>
      </c>
      <c r="I24" t="s">
        <v>26</v>
      </c>
      <c r="J24" s="7">
        <v>45778</v>
      </c>
      <c r="K24">
        <v>8500000</v>
      </c>
      <c r="L24" t="s">
        <v>502</v>
      </c>
    </row>
    <row r="25" spans="1:12" x14ac:dyDescent="0.3">
      <c r="A25" t="s">
        <v>61</v>
      </c>
      <c r="B25" s="7">
        <v>45378</v>
      </c>
      <c r="C25" t="s">
        <v>35</v>
      </c>
      <c r="D25" t="s">
        <v>23</v>
      </c>
      <c r="E25" t="s">
        <v>24</v>
      </c>
      <c r="F25" t="s">
        <v>16</v>
      </c>
      <c r="G25">
        <v>5200000</v>
      </c>
      <c r="H25">
        <v>5200000</v>
      </c>
      <c r="I25" t="s">
        <v>20</v>
      </c>
      <c r="J25" s="7">
        <v>46084</v>
      </c>
      <c r="K25">
        <v>9000000</v>
      </c>
      <c r="L25" t="s">
        <v>38</v>
      </c>
    </row>
    <row r="26" spans="1:12" x14ac:dyDescent="0.3">
      <c r="A26" t="s">
        <v>62</v>
      </c>
      <c r="B26" s="7">
        <v>45619</v>
      </c>
      <c r="C26" t="s">
        <v>22</v>
      </c>
      <c r="D26" t="s">
        <v>23</v>
      </c>
      <c r="E26" t="s">
        <v>24</v>
      </c>
      <c r="F26" t="s">
        <v>16</v>
      </c>
      <c r="G26">
        <v>4450000</v>
      </c>
      <c r="H26">
        <v>4450000</v>
      </c>
      <c r="I26" t="s">
        <v>20</v>
      </c>
      <c r="J26" s="7">
        <v>45903</v>
      </c>
      <c r="K26">
        <v>8000000</v>
      </c>
      <c r="L26" t="s">
        <v>502</v>
      </c>
    </row>
    <row r="27" spans="1:12" x14ac:dyDescent="0.3">
      <c r="A27" t="s">
        <v>63</v>
      </c>
      <c r="B27" s="7">
        <v>45550</v>
      </c>
      <c r="C27" t="s">
        <v>13</v>
      </c>
      <c r="D27" t="s">
        <v>23</v>
      </c>
      <c r="E27" t="s">
        <v>24</v>
      </c>
      <c r="F27" t="s">
        <v>51</v>
      </c>
      <c r="G27">
        <v>10500000</v>
      </c>
      <c r="H27">
        <v>10500000</v>
      </c>
      <c r="I27" t="s">
        <v>20</v>
      </c>
      <c r="J27" s="7">
        <v>45829</v>
      </c>
      <c r="K27">
        <v>8500000</v>
      </c>
      <c r="L27" t="s">
        <v>502</v>
      </c>
    </row>
    <row r="28" spans="1:12" x14ac:dyDescent="0.3">
      <c r="A28" t="s">
        <v>64</v>
      </c>
      <c r="B28" s="7">
        <v>45296</v>
      </c>
      <c r="C28" t="s">
        <v>22</v>
      </c>
      <c r="D28" t="s">
        <v>14</v>
      </c>
      <c r="E28" t="s">
        <v>15</v>
      </c>
      <c r="F28" t="s">
        <v>33</v>
      </c>
      <c r="G28">
        <v>6650000</v>
      </c>
      <c r="H28">
        <v>6650000</v>
      </c>
      <c r="I28" t="s">
        <v>20</v>
      </c>
      <c r="J28" s="7">
        <v>46072</v>
      </c>
      <c r="K28">
        <v>8000000</v>
      </c>
      <c r="L28" t="s">
        <v>502</v>
      </c>
    </row>
    <row r="29" spans="1:12" x14ac:dyDescent="0.3">
      <c r="A29" t="s">
        <v>65</v>
      </c>
      <c r="B29" s="7">
        <v>45572</v>
      </c>
      <c r="C29" t="s">
        <v>28</v>
      </c>
      <c r="D29" t="s">
        <v>23</v>
      </c>
      <c r="E29" t="s">
        <v>24</v>
      </c>
      <c r="F29" t="s">
        <v>51</v>
      </c>
      <c r="G29">
        <v>12400000</v>
      </c>
      <c r="H29">
        <v>0</v>
      </c>
      <c r="I29" t="s">
        <v>17</v>
      </c>
      <c r="J29" s="7">
        <v>45801</v>
      </c>
      <c r="K29">
        <v>7000000</v>
      </c>
      <c r="L29" t="s">
        <v>42</v>
      </c>
    </row>
    <row r="30" spans="1:12" x14ac:dyDescent="0.3">
      <c r="A30" t="s">
        <v>67</v>
      </c>
      <c r="B30" s="7">
        <v>45496</v>
      </c>
      <c r="C30" t="s">
        <v>31</v>
      </c>
      <c r="D30" t="s">
        <v>44</v>
      </c>
      <c r="E30" t="s">
        <v>45</v>
      </c>
      <c r="F30" t="s">
        <v>33</v>
      </c>
      <c r="G30">
        <v>6950000</v>
      </c>
      <c r="H30">
        <v>6950000</v>
      </c>
      <c r="I30" t="s">
        <v>20</v>
      </c>
      <c r="J30" s="7">
        <v>45923</v>
      </c>
      <c r="K30">
        <v>7500000</v>
      </c>
      <c r="L30" t="s">
        <v>502</v>
      </c>
    </row>
    <row r="31" spans="1:12" x14ac:dyDescent="0.3">
      <c r="A31" t="s">
        <v>68</v>
      </c>
      <c r="B31" s="7">
        <v>45394</v>
      </c>
      <c r="C31" t="s">
        <v>22</v>
      </c>
      <c r="D31" t="s">
        <v>14</v>
      </c>
      <c r="E31" t="s">
        <v>15</v>
      </c>
      <c r="F31" t="s">
        <v>33</v>
      </c>
      <c r="G31">
        <v>7700000</v>
      </c>
      <c r="H31">
        <v>7700000</v>
      </c>
      <c r="I31" t="s">
        <v>20</v>
      </c>
      <c r="J31" s="7">
        <v>46058</v>
      </c>
      <c r="K31">
        <v>8000000</v>
      </c>
      <c r="L31" t="s">
        <v>38</v>
      </c>
    </row>
    <row r="32" spans="1:12" x14ac:dyDescent="0.3">
      <c r="A32" t="s">
        <v>69</v>
      </c>
      <c r="B32" s="7">
        <v>45305</v>
      </c>
      <c r="C32" t="s">
        <v>28</v>
      </c>
      <c r="D32" t="s">
        <v>44</v>
      </c>
      <c r="E32" t="s">
        <v>45</v>
      </c>
      <c r="F32" t="s">
        <v>16</v>
      </c>
      <c r="G32">
        <v>4050000</v>
      </c>
      <c r="H32">
        <v>4050000</v>
      </c>
      <c r="I32" t="s">
        <v>20</v>
      </c>
      <c r="J32" s="7">
        <v>45764</v>
      </c>
      <c r="K32">
        <v>7000000</v>
      </c>
      <c r="L32" t="s">
        <v>18</v>
      </c>
    </row>
    <row r="33" spans="1:12" x14ac:dyDescent="0.3">
      <c r="A33" t="s">
        <v>70</v>
      </c>
      <c r="B33" s="7">
        <v>45655</v>
      </c>
      <c r="C33" t="s">
        <v>31</v>
      </c>
      <c r="D33" t="s">
        <v>14</v>
      </c>
      <c r="E33" t="s">
        <v>15</v>
      </c>
      <c r="F33" t="s">
        <v>33</v>
      </c>
      <c r="G33">
        <v>8200000</v>
      </c>
      <c r="H33">
        <v>8200000</v>
      </c>
      <c r="I33" t="s">
        <v>20</v>
      </c>
      <c r="J33" s="7">
        <v>46065</v>
      </c>
      <c r="K33">
        <v>7500000</v>
      </c>
      <c r="L33" t="s">
        <v>38</v>
      </c>
    </row>
    <row r="34" spans="1:12" x14ac:dyDescent="0.3">
      <c r="A34" t="s">
        <v>71</v>
      </c>
      <c r="B34" s="7">
        <v>45479</v>
      </c>
      <c r="C34" t="s">
        <v>22</v>
      </c>
      <c r="D34" t="s">
        <v>14</v>
      </c>
      <c r="E34" t="s">
        <v>15</v>
      </c>
      <c r="F34" t="s">
        <v>16</v>
      </c>
      <c r="G34">
        <v>5150000</v>
      </c>
      <c r="H34">
        <v>5150000</v>
      </c>
      <c r="I34" t="s">
        <v>20</v>
      </c>
      <c r="J34" s="7">
        <v>45734</v>
      </c>
      <c r="K34">
        <v>8000000</v>
      </c>
      <c r="L34" t="s">
        <v>502</v>
      </c>
    </row>
    <row r="35" spans="1:12" x14ac:dyDescent="0.3">
      <c r="A35" t="s">
        <v>72</v>
      </c>
      <c r="B35" s="7">
        <v>45445</v>
      </c>
      <c r="C35" t="s">
        <v>31</v>
      </c>
      <c r="D35" t="s">
        <v>23</v>
      </c>
      <c r="E35" t="s">
        <v>24</v>
      </c>
      <c r="F35" t="s">
        <v>33</v>
      </c>
      <c r="G35">
        <v>8750000</v>
      </c>
      <c r="H35">
        <v>8750000</v>
      </c>
      <c r="I35" t="s">
        <v>20</v>
      </c>
      <c r="J35" s="7">
        <v>46018</v>
      </c>
      <c r="K35">
        <v>7500000</v>
      </c>
      <c r="L35" t="s">
        <v>52</v>
      </c>
    </row>
    <row r="36" spans="1:12" x14ac:dyDescent="0.3">
      <c r="A36" t="s">
        <v>73</v>
      </c>
      <c r="B36" s="7">
        <v>45472</v>
      </c>
      <c r="C36" t="s">
        <v>22</v>
      </c>
      <c r="D36" t="s">
        <v>14</v>
      </c>
      <c r="E36" t="s">
        <v>15</v>
      </c>
      <c r="F36" t="s">
        <v>16</v>
      </c>
      <c r="G36">
        <v>5400000</v>
      </c>
      <c r="H36">
        <v>900000</v>
      </c>
      <c r="I36" t="s">
        <v>26</v>
      </c>
      <c r="J36" s="7">
        <v>45762</v>
      </c>
      <c r="K36">
        <v>8000000</v>
      </c>
      <c r="L36" t="s">
        <v>40</v>
      </c>
    </row>
    <row r="37" spans="1:12" x14ac:dyDescent="0.3">
      <c r="A37" t="s">
        <v>74</v>
      </c>
      <c r="B37" s="7">
        <v>45522</v>
      </c>
      <c r="C37" t="s">
        <v>35</v>
      </c>
      <c r="D37" t="s">
        <v>14</v>
      </c>
      <c r="E37" t="s">
        <v>15</v>
      </c>
      <c r="F37" t="s">
        <v>25</v>
      </c>
      <c r="G37">
        <v>2800000</v>
      </c>
      <c r="H37">
        <v>850000</v>
      </c>
      <c r="I37" t="s">
        <v>26</v>
      </c>
      <c r="J37" s="7">
        <v>46319</v>
      </c>
      <c r="K37">
        <v>9000000</v>
      </c>
      <c r="L37" t="s">
        <v>42</v>
      </c>
    </row>
    <row r="38" spans="1:12" x14ac:dyDescent="0.3">
      <c r="A38" t="s">
        <v>75</v>
      </c>
      <c r="B38" s="7">
        <v>45502</v>
      </c>
      <c r="C38" t="s">
        <v>35</v>
      </c>
      <c r="D38" t="s">
        <v>23</v>
      </c>
      <c r="E38" t="s">
        <v>24</v>
      </c>
      <c r="F38" t="s">
        <v>51</v>
      </c>
      <c r="G38">
        <v>9950000</v>
      </c>
      <c r="H38">
        <v>9950000</v>
      </c>
      <c r="I38" t="s">
        <v>20</v>
      </c>
      <c r="J38" s="7">
        <v>46296</v>
      </c>
      <c r="K38">
        <v>9000000</v>
      </c>
      <c r="L38" t="s">
        <v>18</v>
      </c>
    </row>
    <row r="39" spans="1:12" x14ac:dyDescent="0.3">
      <c r="A39" t="s">
        <v>76</v>
      </c>
      <c r="B39" s="7">
        <v>45409</v>
      </c>
      <c r="C39" t="s">
        <v>13</v>
      </c>
      <c r="D39" t="s">
        <v>14</v>
      </c>
      <c r="E39" t="s">
        <v>15</v>
      </c>
      <c r="F39" t="s">
        <v>25</v>
      </c>
      <c r="G39">
        <v>2850000</v>
      </c>
      <c r="H39">
        <v>2850000</v>
      </c>
      <c r="I39" t="s">
        <v>20</v>
      </c>
      <c r="J39" s="7">
        <v>45895</v>
      </c>
      <c r="K39">
        <v>8500000</v>
      </c>
      <c r="L39" t="s">
        <v>52</v>
      </c>
    </row>
    <row r="40" spans="1:12" x14ac:dyDescent="0.3">
      <c r="A40" t="s">
        <v>77</v>
      </c>
      <c r="B40" s="7">
        <v>45518</v>
      </c>
      <c r="C40" t="s">
        <v>13</v>
      </c>
      <c r="D40" t="s">
        <v>23</v>
      </c>
      <c r="E40" t="s">
        <v>24</v>
      </c>
      <c r="F40" t="s">
        <v>16</v>
      </c>
      <c r="G40">
        <v>4550000</v>
      </c>
      <c r="H40">
        <v>4550000</v>
      </c>
      <c r="I40" t="s">
        <v>20</v>
      </c>
      <c r="J40" s="7">
        <v>46222</v>
      </c>
      <c r="K40">
        <v>8500000</v>
      </c>
      <c r="L40" t="s">
        <v>38</v>
      </c>
    </row>
    <row r="41" spans="1:12" x14ac:dyDescent="0.3">
      <c r="A41" t="s">
        <v>78</v>
      </c>
      <c r="B41" s="7">
        <v>45356</v>
      </c>
      <c r="C41" t="s">
        <v>28</v>
      </c>
      <c r="D41" t="s">
        <v>14</v>
      </c>
      <c r="E41" t="s">
        <v>15</v>
      </c>
      <c r="F41" t="s">
        <v>33</v>
      </c>
      <c r="G41">
        <v>7400000</v>
      </c>
      <c r="H41">
        <v>7400000</v>
      </c>
      <c r="I41" t="s">
        <v>20</v>
      </c>
      <c r="J41" s="7">
        <v>45872</v>
      </c>
      <c r="K41">
        <v>7000000</v>
      </c>
      <c r="L41" t="s">
        <v>52</v>
      </c>
    </row>
    <row r="42" spans="1:12" x14ac:dyDescent="0.3">
      <c r="A42" t="s">
        <v>79</v>
      </c>
      <c r="B42" s="7">
        <v>45509</v>
      </c>
      <c r="C42" t="s">
        <v>31</v>
      </c>
      <c r="D42" t="s">
        <v>23</v>
      </c>
      <c r="E42" t="s">
        <v>24</v>
      </c>
      <c r="F42" t="s">
        <v>25</v>
      </c>
      <c r="G42">
        <v>3100000</v>
      </c>
      <c r="H42">
        <v>3100000</v>
      </c>
      <c r="I42" t="s">
        <v>20</v>
      </c>
      <c r="J42" s="7">
        <v>45813</v>
      </c>
      <c r="K42">
        <v>7500000</v>
      </c>
      <c r="L42" t="s">
        <v>502</v>
      </c>
    </row>
    <row r="43" spans="1:12" x14ac:dyDescent="0.3">
      <c r="A43" t="s">
        <v>80</v>
      </c>
      <c r="B43" s="7">
        <v>45331</v>
      </c>
      <c r="C43" t="s">
        <v>22</v>
      </c>
      <c r="D43" t="s">
        <v>23</v>
      </c>
      <c r="E43" t="s">
        <v>24</v>
      </c>
      <c r="F43" t="s">
        <v>16</v>
      </c>
      <c r="G43">
        <v>5200000</v>
      </c>
      <c r="H43">
        <v>2000000</v>
      </c>
      <c r="I43" t="s">
        <v>26</v>
      </c>
      <c r="J43" s="7">
        <v>45553</v>
      </c>
      <c r="K43">
        <v>8000000</v>
      </c>
      <c r="L43" t="s">
        <v>502</v>
      </c>
    </row>
    <row r="44" spans="1:12" x14ac:dyDescent="0.3">
      <c r="A44" t="s">
        <v>81</v>
      </c>
      <c r="B44" s="7">
        <v>45404</v>
      </c>
      <c r="C44" t="s">
        <v>31</v>
      </c>
      <c r="D44" t="s">
        <v>14</v>
      </c>
      <c r="E44" t="s">
        <v>15</v>
      </c>
      <c r="F44" t="s">
        <v>51</v>
      </c>
      <c r="G44">
        <v>9900000</v>
      </c>
      <c r="H44">
        <v>9900000</v>
      </c>
      <c r="I44" t="s">
        <v>20</v>
      </c>
      <c r="J44" s="7">
        <v>45740</v>
      </c>
      <c r="K44">
        <v>7500000</v>
      </c>
      <c r="L44" t="s">
        <v>52</v>
      </c>
    </row>
    <row r="45" spans="1:12" x14ac:dyDescent="0.3">
      <c r="A45" t="s">
        <v>82</v>
      </c>
      <c r="B45" s="7">
        <v>45317</v>
      </c>
      <c r="C45" t="s">
        <v>28</v>
      </c>
      <c r="D45" t="s">
        <v>14</v>
      </c>
      <c r="E45" t="s">
        <v>15</v>
      </c>
      <c r="F45" t="s">
        <v>25</v>
      </c>
      <c r="G45">
        <v>3050000</v>
      </c>
      <c r="H45">
        <v>3050000</v>
      </c>
      <c r="I45" t="s">
        <v>20</v>
      </c>
      <c r="J45" s="7">
        <v>45687</v>
      </c>
      <c r="K45">
        <v>7000000</v>
      </c>
      <c r="L45" t="s">
        <v>38</v>
      </c>
    </row>
    <row r="46" spans="1:12" x14ac:dyDescent="0.3">
      <c r="A46" t="s">
        <v>83</v>
      </c>
      <c r="B46" s="7">
        <v>45557</v>
      </c>
      <c r="C46" t="s">
        <v>13</v>
      </c>
      <c r="D46" t="s">
        <v>14</v>
      </c>
      <c r="E46" t="s">
        <v>15</v>
      </c>
      <c r="F46" t="s">
        <v>33</v>
      </c>
      <c r="G46">
        <v>8350000</v>
      </c>
      <c r="H46">
        <v>0</v>
      </c>
      <c r="I46" t="s">
        <v>17</v>
      </c>
      <c r="J46" s="7">
        <v>46240</v>
      </c>
      <c r="K46">
        <v>8500000</v>
      </c>
      <c r="L46" t="s">
        <v>38</v>
      </c>
    </row>
    <row r="47" spans="1:12" x14ac:dyDescent="0.3">
      <c r="A47" t="s">
        <v>84</v>
      </c>
      <c r="B47" s="7">
        <v>45460</v>
      </c>
      <c r="C47" t="s">
        <v>35</v>
      </c>
      <c r="D47" t="s">
        <v>23</v>
      </c>
      <c r="E47" t="s">
        <v>24</v>
      </c>
      <c r="F47" t="s">
        <v>16</v>
      </c>
      <c r="G47">
        <v>5350000</v>
      </c>
      <c r="H47">
        <v>1200000</v>
      </c>
      <c r="I47" t="s">
        <v>26</v>
      </c>
      <c r="J47" s="7">
        <v>46189</v>
      </c>
      <c r="K47">
        <v>9000000</v>
      </c>
      <c r="L47" t="s">
        <v>40</v>
      </c>
    </row>
    <row r="48" spans="1:12" x14ac:dyDescent="0.3">
      <c r="A48" t="s">
        <v>85</v>
      </c>
      <c r="B48" s="7">
        <v>45437</v>
      </c>
      <c r="C48" t="s">
        <v>22</v>
      </c>
      <c r="D48" t="s">
        <v>23</v>
      </c>
      <c r="E48" t="s">
        <v>24</v>
      </c>
      <c r="F48" t="s">
        <v>16</v>
      </c>
      <c r="G48">
        <v>5900000</v>
      </c>
      <c r="H48">
        <v>850000</v>
      </c>
      <c r="I48" t="s">
        <v>26</v>
      </c>
      <c r="J48" s="7">
        <v>46064</v>
      </c>
      <c r="K48">
        <v>8000000</v>
      </c>
      <c r="L48" t="s">
        <v>38</v>
      </c>
    </row>
    <row r="49" spans="1:12" x14ac:dyDescent="0.3">
      <c r="A49" t="s">
        <v>86</v>
      </c>
      <c r="B49" s="7">
        <v>45524</v>
      </c>
      <c r="C49" t="s">
        <v>35</v>
      </c>
      <c r="D49" t="s">
        <v>23</v>
      </c>
      <c r="E49" t="s">
        <v>24</v>
      </c>
      <c r="F49" t="s">
        <v>16</v>
      </c>
      <c r="G49">
        <v>5400000</v>
      </c>
      <c r="H49">
        <v>5400000</v>
      </c>
      <c r="I49" t="s">
        <v>20</v>
      </c>
      <c r="J49" s="7">
        <v>46422</v>
      </c>
      <c r="K49">
        <v>9000000</v>
      </c>
      <c r="L49" t="s">
        <v>38</v>
      </c>
    </row>
    <row r="50" spans="1:12" x14ac:dyDescent="0.3">
      <c r="A50" t="s">
        <v>87</v>
      </c>
      <c r="B50" s="7">
        <v>45652</v>
      </c>
      <c r="C50" t="s">
        <v>35</v>
      </c>
      <c r="D50" t="s">
        <v>44</v>
      </c>
      <c r="E50" t="s">
        <v>45</v>
      </c>
      <c r="F50" t="s">
        <v>16</v>
      </c>
      <c r="G50">
        <v>4750000</v>
      </c>
      <c r="H50">
        <v>800000</v>
      </c>
      <c r="I50" t="s">
        <v>26</v>
      </c>
      <c r="J50" s="7">
        <v>45968</v>
      </c>
      <c r="K50">
        <v>9000000</v>
      </c>
      <c r="L50" t="s">
        <v>502</v>
      </c>
    </row>
    <row r="51" spans="1:12" x14ac:dyDescent="0.3">
      <c r="A51" t="s">
        <v>88</v>
      </c>
      <c r="B51" s="7">
        <v>45443</v>
      </c>
      <c r="C51" t="s">
        <v>22</v>
      </c>
      <c r="D51" t="s">
        <v>14</v>
      </c>
      <c r="E51" t="s">
        <v>15</v>
      </c>
      <c r="F51" t="s">
        <v>16</v>
      </c>
      <c r="G51">
        <v>4800000</v>
      </c>
      <c r="H51">
        <v>4800000</v>
      </c>
      <c r="I51" t="s">
        <v>26</v>
      </c>
      <c r="J51" s="7">
        <v>45869</v>
      </c>
      <c r="K51">
        <v>8000000</v>
      </c>
      <c r="L51" t="s">
        <v>502</v>
      </c>
    </row>
    <row r="52" spans="1:12" x14ac:dyDescent="0.3">
      <c r="A52" t="s">
        <v>89</v>
      </c>
      <c r="B52" s="7">
        <v>45593</v>
      </c>
      <c r="C52" t="s">
        <v>28</v>
      </c>
      <c r="D52" t="s">
        <v>14</v>
      </c>
      <c r="E52" t="s">
        <v>15</v>
      </c>
      <c r="F52" t="s">
        <v>51</v>
      </c>
      <c r="G52">
        <v>11150000</v>
      </c>
      <c r="H52">
        <v>11150000</v>
      </c>
      <c r="I52" t="s">
        <v>20</v>
      </c>
      <c r="J52" s="7">
        <v>46005</v>
      </c>
      <c r="K52">
        <v>7000000</v>
      </c>
      <c r="L52" t="s">
        <v>40</v>
      </c>
    </row>
    <row r="53" spans="1:12" x14ac:dyDescent="0.3">
      <c r="A53" t="s">
        <v>90</v>
      </c>
      <c r="B53" s="7">
        <v>45417</v>
      </c>
      <c r="C53" t="s">
        <v>22</v>
      </c>
      <c r="D53" t="s">
        <v>14</v>
      </c>
      <c r="E53" t="s">
        <v>15</v>
      </c>
      <c r="F53" t="s">
        <v>33</v>
      </c>
      <c r="G53">
        <v>7400000</v>
      </c>
      <c r="H53">
        <v>7400000</v>
      </c>
      <c r="I53" t="s">
        <v>20</v>
      </c>
      <c r="J53" s="7">
        <v>45740</v>
      </c>
      <c r="K53">
        <v>8000000</v>
      </c>
      <c r="L53" t="s">
        <v>502</v>
      </c>
    </row>
    <row r="54" spans="1:12" x14ac:dyDescent="0.3">
      <c r="A54" t="s">
        <v>91</v>
      </c>
      <c r="B54" s="7">
        <v>45483</v>
      </c>
      <c r="C54" t="s">
        <v>13</v>
      </c>
      <c r="D54" t="s">
        <v>23</v>
      </c>
      <c r="E54" t="s">
        <v>24</v>
      </c>
      <c r="F54" t="s">
        <v>33</v>
      </c>
      <c r="G54">
        <v>7250000</v>
      </c>
      <c r="H54">
        <v>7250000</v>
      </c>
      <c r="I54" t="s">
        <v>20</v>
      </c>
      <c r="J54" s="7">
        <v>45842</v>
      </c>
      <c r="K54">
        <v>8500000</v>
      </c>
      <c r="L54" t="s">
        <v>38</v>
      </c>
    </row>
    <row r="55" spans="1:12" x14ac:dyDescent="0.3">
      <c r="A55" t="s">
        <v>92</v>
      </c>
      <c r="B55" s="7">
        <v>45428</v>
      </c>
      <c r="C55" t="s">
        <v>22</v>
      </c>
      <c r="D55" t="s">
        <v>14</v>
      </c>
      <c r="E55" t="s">
        <v>15</v>
      </c>
      <c r="F55" t="s">
        <v>16</v>
      </c>
      <c r="G55">
        <v>5250000</v>
      </c>
      <c r="H55">
        <v>5250000</v>
      </c>
      <c r="I55" t="s">
        <v>20</v>
      </c>
      <c r="J55" s="7">
        <v>46166</v>
      </c>
      <c r="K55">
        <v>8000000</v>
      </c>
      <c r="L55" t="s">
        <v>18</v>
      </c>
    </row>
    <row r="56" spans="1:12" x14ac:dyDescent="0.3">
      <c r="A56" t="s">
        <v>93</v>
      </c>
      <c r="B56" s="7">
        <v>45382</v>
      </c>
      <c r="C56" t="s">
        <v>13</v>
      </c>
      <c r="D56" t="s">
        <v>23</v>
      </c>
      <c r="E56" t="s">
        <v>24</v>
      </c>
      <c r="F56" t="s">
        <v>51</v>
      </c>
      <c r="G56">
        <v>12950000</v>
      </c>
      <c r="H56">
        <v>0</v>
      </c>
      <c r="I56" t="s">
        <v>17</v>
      </c>
      <c r="J56" s="7">
        <v>45816</v>
      </c>
      <c r="K56">
        <v>8500000</v>
      </c>
      <c r="L56" t="s">
        <v>18</v>
      </c>
    </row>
    <row r="57" spans="1:12" x14ac:dyDescent="0.3">
      <c r="A57" t="s">
        <v>94</v>
      </c>
      <c r="B57" s="7">
        <v>45637</v>
      </c>
      <c r="C57" t="s">
        <v>31</v>
      </c>
      <c r="D57" t="s">
        <v>23</v>
      </c>
      <c r="E57" t="s">
        <v>24</v>
      </c>
      <c r="F57" t="s">
        <v>33</v>
      </c>
      <c r="G57">
        <v>7450000</v>
      </c>
      <c r="H57">
        <v>0</v>
      </c>
      <c r="I57" t="s">
        <v>17</v>
      </c>
      <c r="J57" s="7">
        <v>45881</v>
      </c>
      <c r="K57">
        <v>7500000</v>
      </c>
      <c r="L57" t="s">
        <v>502</v>
      </c>
    </row>
    <row r="58" spans="1:12" x14ac:dyDescent="0.3">
      <c r="A58" t="s">
        <v>95</v>
      </c>
      <c r="B58" s="7">
        <v>45594</v>
      </c>
      <c r="C58" t="s">
        <v>31</v>
      </c>
      <c r="D58" t="s">
        <v>23</v>
      </c>
      <c r="E58" t="s">
        <v>24</v>
      </c>
      <c r="F58" t="s">
        <v>33</v>
      </c>
      <c r="G58">
        <v>8600000</v>
      </c>
      <c r="H58">
        <v>8600000</v>
      </c>
      <c r="I58" t="s">
        <v>20</v>
      </c>
      <c r="J58" s="7">
        <v>46126</v>
      </c>
      <c r="K58">
        <v>7500000</v>
      </c>
      <c r="L58" t="s">
        <v>502</v>
      </c>
    </row>
    <row r="59" spans="1:12" x14ac:dyDescent="0.3">
      <c r="A59" t="s">
        <v>96</v>
      </c>
      <c r="B59" s="7">
        <v>45516</v>
      </c>
      <c r="C59" t="s">
        <v>13</v>
      </c>
      <c r="D59" t="s">
        <v>23</v>
      </c>
      <c r="E59" t="s">
        <v>24</v>
      </c>
      <c r="F59" t="s">
        <v>25</v>
      </c>
      <c r="G59">
        <v>3350000</v>
      </c>
      <c r="H59">
        <v>0</v>
      </c>
      <c r="I59" t="s">
        <v>17</v>
      </c>
      <c r="J59" s="7">
        <v>45813</v>
      </c>
      <c r="K59">
        <v>8500000</v>
      </c>
      <c r="L59" t="s">
        <v>42</v>
      </c>
    </row>
    <row r="60" spans="1:12" x14ac:dyDescent="0.3">
      <c r="A60" t="s">
        <v>97</v>
      </c>
      <c r="B60" s="7">
        <v>45555</v>
      </c>
      <c r="C60" t="s">
        <v>35</v>
      </c>
      <c r="D60" t="s">
        <v>14</v>
      </c>
      <c r="E60" t="s">
        <v>15</v>
      </c>
      <c r="F60" t="s">
        <v>16</v>
      </c>
      <c r="G60">
        <v>4300000</v>
      </c>
      <c r="H60">
        <v>850000</v>
      </c>
      <c r="I60" t="s">
        <v>26</v>
      </c>
      <c r="J60" s="7">
        <v>45989</v>
      </c>
      <c r="K60">
        <v>9000000</v>
      </c>
      <c r="L60" t="s">
        <v>42</v>
      </c>
    </row>
    <row r="61" spans="1:12" x14ac:dyDescent="0.3">
      <c r="A61" t="s">
        <v>98</v>
      </c>
      <c r="B61" s="7">
        <v>45572</v>
      </c>
      <c r="C61" t="s">
        <v>13</v>
      </c>
      <c r="D61" t="s">
        <v>44</v>
      </c>
      <c r="E61" t="s">
        <v>45</v>
      </c>
      <c r="F61" t="s">
        <v>51</v>
      </c>
      <c r="G61">
        <v>13500000</v>
      </c>
      <c r="H61">
        <v>2400000</v>
      </c>
      <c r="I61" t="s">
        <v>26</v>
      </c>
      <c r="J61" s="7">
        <v>46005</v>
      </c>
      <c r="K61">
        <v>8500000</v>
      </c>
      <c r="L61" t="s">
        <v>18</v>
      </c>
    </row>
    <row r="62" spans="1:12" x14ac:dyDescent="0.3">
      <c r="A62" t="s">
        <v>100</v>
      </c>
      <c r="B62" s="7">
        <v>45588</v>
      </c>
      <c r="C62" t="s">
        <v>22</v>
      </c>
      <c r="D62" t="s">
        <v>44</v>
      </c>
      <c r="E62" t="s">
        <v>45</v>
      </c>
      <c r="F62" t="s">
        <v>33</v>
      </c>
      <c r="G62">
        <v>8050000</v>
      </c>
      <c r="H62">
        <v>3100000</v>
      </c>
      <c r="I62" t="s">
        <v>26</v>
      </c>
      <c r="J62" s="7">
        <v>45971</v>
      </c>
      <c r="K62">
        <v>8000000</v>
      </c>
      <c r="L62" t="s">
        <v>38</v>
      </c>
    </row>
    <row r="63" spans="1:12" x14ac:dyDescent="0.3">
      <c r="A63" t="s">
        <v>101</v>
      </c>
      <c r="B63" s="7">
        <v>45367</v>
      </c>
      <c r="C63" t="s">
        <v>13</v>
      </c>
      <c r="D63" t="s">
        <v>23</v>
      </c>
      <c r="E63" t="s">
        <v>24</v>
      </c>
      <c r="F63" t="s">
        <v>16</v>
      </c>
      <c r="G63">
        <v>5900000</v>
      </c>
      <c r="H63">
        <v>5900000</v>
      </c>
      <c r="I63" t="s">
        <v>20</v>
      </c>
      <c r="J63" s="7">
        <v>45913</v>
      </c>
      <c r="K63">
        <v>8500000</v>
      </c>
      <c r="L63" t="s">
        <v>29</v>
      </c>
    </row>
    <row r="64" spans="1:12" x14ac:dyDescent="0.3">
      <c r="A64" t="s">
        <v>102</v>
      </c>
      <c r="B64" s="7">
        <v>45491</v>
      </c>
      <c r="C64" t="s">
        <v>28</v>
      </c>
      <c r="D64" t="s">
        <v>14</v>
      </c>
      <c r="E64" t="s">
        <v>15</v>
      </c>
      <c r="F64" t="s">
        <v>51</v>
      </c>
      <c r="G64">
        <v>12700000</v>
      </c>
      <c r="H64">
        <v>1300000</v>
      </c>
      <c r="I64" t="s">
        <v>26</v>
      </c>
      <c r="J64" s="7">
        <v>46031</v>
      </c>
      <c r="K64">
        <v>7000000</v>
      </c>
      <c r="L64" t="s">
        <v>18</v>
      </c>
    </row>
    <row r="65" spans="1:12" x14ac:dyDescent="0.3">
      <c r="A65" t="s">
        <v>103</v>
      </c>
      <c r="B65" s="7">
        <v>45622</v>
      </c>
      <c r="C65" t="s">
        <v>13</v>
      </c>
      <c r="D65" t="s">
        <v>14</v>
      </c>
      <c r="E65" t="s">
        <v>15</v>
      </c>
      <c r="F65" t="s">
        <v>51</v>
      </c>
      <c r="G65">
        <v>12300000</v>
      </c>
      <c r="H65">
        <v>12300000</v>
      </c>
      <c r="I65" t="s">
        <v>20</v>
      </c>
      <c r="J65" s="7">
        <v>45845</v>
      </c>
      <c r="K65">
        <v>8500000</v>
      </c>
      <c r="L65" t="s">
        <v>502</v>
      </c>
    </row>
    <row r="66" spans="1:12" x14ac:dyDescent="0.3">
      <c r="A66" t="s">
        <v>104</v>
      </c>
      <c r="B66" s="7">
        <v>45586</v>
      </c>
      <c r="C66" t="s">
        <v>31</v>
      </c>
      <c r="D66" t="s">
        <v>23</v>
      </c>
      <c r="E66" t="s">
        <v>24</v>
      </c>
      <c r="F66" t="s">
        <v>51</v>
      </c>
      <c r="G66">
        <v>12800000</v>
      </c>
      <c r="H66">
        <v>12800000</v>
      </c>
      <c r="I66" t="s">
        <v>20</v>
      </c>
      <c r="J66" s="7">
        <v>45882</v>
      </c>
      <c r="K66">
        <v>7500000</v>
      </c>
      <c r="L66" t="s">
        <v>29</v>
      </c>
    </row>
    <row r="67" spans="1:12" x14ac:dyDescent="0.3">
      <c r="A67" t="s">
        <v>105</v>
      </c>
      <c r="B67" s="7">
        <v>45347</v>
      </c>
      <c r="C67" t="s">
        <v>31</v>
      </c>
      <c r="D67" t="s">
        <v>23</v>
      </c>
      <c r="E67" t="s">
        <v>24</v>
      </c>
      <c r="F67" t="s">
        <v>16</v>
      </c>
      <c r="G67">
        <v>4900000</v>
      </c>
      <c r="H67">
        <v>4900000</v>
      </c>
      <c r="I67" t="s">
        <v>20</v>
      </c>
      <c r="J67" s="7">
        <v>45812</v>
      </c>
      <c r="K67">
        <v>7500000</v>
      </c>
      <c r="L67" t="s">
        <v>502</v>
      </c>
    </row>
    <row r="68" spans="1:12" x14ac:dyDescent="0.3">
      <c r="A68" t="s">
        <v>106</v>
      </c>
      <c r="B68" s="7">
        <v>45380</v>
      </c>
      <c r="C68" t="s">
        <v>35</v>
      </c>
      <c r="D68" t="s">
        <v>14</v>
      </c>
      <c r="E68" t="s">
        <v>15</v>
      </c>
      <c r="F68" t="s">
        <v>16</v>
      </c>
      <c r="G68">
        <v>4600000</v>
      </c>
      <c r="H68">
        <v>1700000</v>
      </c>
      <c r="I68" t="s">
        <v>26</v>
      </c>
      <c r="J68" s="7">
        <v>45595</v>
      </c>
      <c r="K68">
        <v>9000000</v>
      </c>
      <c r="L68" t="s">
        <v>29</v>
      </c>
    </row>
    <row r="69" spans="1:12" x14ac:dyDescent="0.3">
      <c r="A69" t="s">
        <v>107</v>
      </c>
      <c r="B69" s="7">
        <v>45360</v>
      </c>
      <c r="C69" t="s">
        <v>13</v>
      </c>
      <c r="D69" t="s">
        <v>44</v>
      </c>
      <c r="E69" t="s">
        <v>45</v>
      </c>
      <c r="F69" t="s">
        <v>33</v>
      </c>
      <c r="G69">
        <v>7850000</v>
      </c>
      <c r="H69">
        <v>2250000</v>
      </c>
      <c r="I69" t="s">
        <v>26</v>
      </c>
      <c r="J69" s="7">
        <v>46056</v>
      </c>
      <c r="K69">
        <v>8500000</v>
      </c>
      <c r="L69" t="s">
        <v>502</v>
      </c>
    </row>
    <row r="70" spans="1:12" x14ac:dyDescent="0.3">
      <c r="A70" t="s">
        <v>108</v>
      </c>
      <c r="B70" s="7">
        <v>45319</v>
      </c>
      <c r="C70" t="s">
        <v>35</v>
      </c>
      <c r="D70" t="s">
        <v>14</v>
      </c>
      <c r="E70" t="s">
        <v>15</v>
      </c>
      <c r="F70" t="s">
        <v>16</v>
      </c>
      <c r="G70">
        <v>5750000</v>
      </c>
      <c r="H70">
        <v>0</v>
      </c>
      <c r="I70" t="s">
        <v>17</v>
      </c>
      <c r="J70" s="7">
        <v>46139</v>
      </c>
      <c r="K70">
        <v>9000000</v>
      </c>
      <c r="L70" t="s">
        <v>502</v>
      </c>
    </row>
    <row r="71" spans="1:12" x14ac:dyDescent="0.3">
      <c r="A71" t="s">
        <v>109</v>
      </c>
      <c r="B71" s="7">
        <v>45369</v>
      </c>
      <c r="C71" t="s">
        <v>35</v>
      </c>
      <c r="D71" t="s">
        <v>23</v>
      </c>
      <c r="E71" t="s">
        <v>24</v>
      </c>
      <c r="F71" t="s">
        <v>25</v>
      </c>
      <c r="G71">
        <v>2800000</v>
      </c>
      <c r="H71">
        <v>1050000</v>
      </c>
      <c r="I71" t="s">
        <v>26</v>
      </c>
      <c r="J71" s="7">
        <v>45636</v>
      </c>
      <c r="K71">
        <v>9000000</v>
      </c>
      <c r="L71" t="s">
        <v>38</v>
      </c>
    </row>
    <row r="72" spans="1:12" x14ac:dyDescent="0.3">
      <c r="A72" t="s">
        <v>110</v>
      </c>
      <c r="B72" s="7">
        <v>45313</v>
      </c>
      <c r="C72" t="s">
        <v>35</v>
      </c>
      <c r="D72" t="s">
        <v>44</v>
      </c>
      <c r="E72" t="s">
        <v>45</v>
      </c>
      <c r="F72" t="s">
        <v>16</v>
      </c>
      <c r="G72">
        <v>5700000</v>
      </c>
      <c r="H72">
        <v>1400000</v>
      </c>
      <c r="I72" t="s">
        <v>26</v>
      </c>
      <c r="J72" s="7">
        <v>45530</v>
      </c>
      <c r="K72">
        <v>9000000</v>
      </c>
      <c r="L72" t="s">
        <v>29</v>
      </c>
    </row>
    <row r="73" spans="1:12" x14ac:dyDescent="0.3">
      <c r="A73" t="s">
        <v>111</v>
      </c>
      <c r="B73" s="7">
        <v>45623</v>
      </c>
      <c r="C73" t="s">
        <v>35</v>
      </c>
      <c r="D73" t="s">
        <v>23</v>
      </c>
      <c r="E73" t="s">
        <v>24</v>
      </c>
      <c r="F73" t="s">
        <v>25</v>
      </c>
      <c r="G73">
        <v>2600000</v>
      </c>
      <c r="H73">
        <v>2600000</v>
      </c>
      <c r="I73" t="s">
        <v>20</v>
      </c>
      <c r="J73" s="7">
        <v>46195</v>
      </c>
      <c r="K73">
        <v>9000000</v>
      </c>
      <c r="L73" t="s">
        <v>52</v>
      </c>
    </row>
    <row r="74" spans="1:12" x14ac:dyDescent="0.3">
      <c r="A74" t="s">
        <v>112</v>
      </c>
      <c r="B74" s="7">
        <v>45410</v>
      </c>
      <c r="C74" t="s">
        <v>28</v>
      </c>
      <c r="D74" t="s">
        <v>23</v>
      </c>
      <c r="E74" t="s">
        <v>24</v>
      </c>
      <c r="F74" t="s">
        <v>16</v>
      </c>
      <c r="G74">
        <v>5550000</v>
      </c>
      <c r="H74">
        <v>5550000</v>
      </c>
      <c r="I74" t="s">
        <v>20</v>
      </c>
      <c r="J74" s="7">
        <v>46184</v>
      </c>
      <c r="K74">
        <v>7000000</v>
      </c>
      <c r="L74" t="s">
        <v>38</v>
      </c>
    </row>
    <row r="75" spans="1:12" x14ac:dyDescent="0.3">
      <c r="A75" t="s">
        <v>113</v>
      </c>
      <c r="B75" s="7">
        <v>45420</v>
      </c>
      <c r="C75" t="s">
        <v>22</v>
      </c>
      <c r="D75" t="s">
        <v>14</v>
      </c>
      <c r="E75" t="s">
        <v>15</v>
      </c>
      <c r="F75" t="s">
        <v>25</v>
      </c>
      <c r="G75">
        <v>2900000</v>
      </c>
      <c r="H75">
        <v>0</v>
      </c>
      <c r="I75" t="s">
        <v>17</v>
      </c>
      <c r="J75" s="7">
        <v>45912</v>
      </c>
      <c r="K75">
        <v>8000000</v>
      </c>
      <c r="L75" t="s">
        <v>29</v>
      </c>
    </row>
    <row r="76" spans="1:12" x14ac:dyDescent="0.3">
      <c r="A76" t="s">
        <v>115</v>
      </c>
      <c r="B76" s="7">
        <v>45477</v>
      </c>
      <c r="C76" t="s">
        <v>13</v>
      </c>
      <c r="D76" t="s">
        <v>23</v>
      </c>
      <c r="E76" t="s">
        <v>24</v>
      </c>
      <c r="F76" t="s">
        <v>16</v>
      </c>
      <c r="G76">
        <v>5550000</v>
      </c>
      <c r="H76">
        <v>2150000</v>
      </c>
      <c r="I76" t="s">
        <v>26</v>
      </c>
      <c r="J76" s="7">
        <v>45933</v>
      </c>
      <c r="K76">
        <v>8500000</v>
      </c>
      <c r="L76" t="s">
        <v>502</v>
      </c>
    </row>
    <row r="77" spans="1:12" x14ac:dyDescent="0.3">
      <c r="A77" t="s">
        <v>116</v>
      </c>
      <c r="B77" s="7">
        <v>45593</v>
      </c>
      <c r="C77" t="s">
        <v>13</v>
      </c>
      <c r="D77" t="s">
        <v>14</v>
      </c>
      <c r="E77" t="s">
        <v>15</v>
      </c>
      <c r="F77" t="s">
        <v>33</v>
      </c>
      <c r="G77">
        <v>6900000</v>
      </c>
      <c r="H77">
        <v>6900000</v>
      </c>
      <c r="I77" t="s">
        <v>20</v>
      </c>
      <c r="J77" s="7">
        <v>46413</v>
      </c>
      <c r="K77">
        <v>8500000</v>
      </c>
      <c r="L77" t="s">
        <v>29</v>
      </c>
    </row>
    <row r="78" spans="1:12" x14ac:dyDescent="0.3">
      <c r="A78" t="s">
        <v>117</v>
      </c>
      <c r="B78" s="7">
        <v>45450</v>
      </c>
      <c r="C78" t="s">
        <v>13</v>
      </c>
      <c r="D78" t="s">
        <v>23</v>
      </c>
      <c r="E78" t="s">
        <v>24</v>
      </c>
      <c r="F78" t="s">
        <v>33</v>
      </c>
      <c r="G78">
        <v>7050000</v>
      </c>
      <c r="H78">
        <v>7050000</v>
      </c>
      <c r="I78" t="s">
        <v>20</v>
      </c>
      <c r="J78" s="7">
        <v>45932</v>
      </c>
      <c r="K78">
        <v>8500000</v>
      </c>
      <c r="L78" t="s">
        <v>40</v>
      </c>
    </row>
    <row r="79" spans="1:12" x14ac:dyDescent="0.3">
      <c r="A79" t="s">
        <v>118</v>
      </c>
      <c r="B79" s="7">
        <v>45459</v>
      </c>
      <c r="C79" t="s">
        <v>22</v>
      </c>
      <c r="D79" t="s">
        <v>23</v>
      </c>
      <c r="E79" t="s">
        <v>24</v>
      </c>
      <c r="F79" t="s">
        <v>16</v>
      </c>
      <c r="G79">
        <v>4250000</v>
      </c>
      <c r="H79">
        <v>1100000</v>
      </c>
      <c r="I79" t="s">
        <v>26</v>
      </c>
      <c r="J79" s="7">
        <v>45874</v>
      </c>
      <c r="K79">
        <v>8000000</v>
      </c>
      <c r="L79" t="s">
        <v>502</v>
      </c>
    </row>
    <row r="80" spans="1:12" x14ac:dyDescent="0.3">
      <c r="A80" t="s">
        <v>119</v>
      </c>
      <c r="B80" s="7">
        <v>45649</v>
      </c>
      <c r="C80" t="s">
        <v>31</v>
      </c>
      <c r="D80" t="s">
        <v>14</v>
      </c>
      <c r="E80" t="s">
        <v>15</v>
      </c>
      <c r="F80" t="s">
        <v>51</v>
      </c>
      <c r="G80">
        <v>12950000</v>
      </c>
      <c r="H80">
        <v>12950000</v>
      </c>
      <c r="I80" t="s">
        <v>20</v>
      </c>
      <c r="J80" s="7">
        <v>46154</v>
      </c>
      <c r="K80">
        <v>7500000</v>
      </c>
      <c r="L80" t="s">
        <v>502</v>
      </c>
    </row>
    <row r="81" spans="1:12" x14ac:dyDescent="0.3">
      <c r="A81" t="s">
        <v>120</v>
      </c>
      <c r="B81" s="7">
        <v>45630</v>
      </c>
      <c r="C81" t="s">
        <v>31</v>
      </c>
      <c r="D81" t="s">
        <v>14</v>
      </c>
      <c r="E81" t="s">
        <v>15</v>
      </c>
      <c r="F81" t="s">
        <v>51</v>
      </c>
      <c r="G81">
        <v>11450000</v>
      </c>
      <c r="H81">
        <v>11450000</v>
      </c>
      <c r="I81" t="s">
        <v>26</v>
      </c>
      <c r="J81" s="7">
        <v>46199</v>
      </c>
      <c r="K81">
        <v>7500000</v>
      </c>
      <c r="L81" t="s">
        <v>18</v>
      </c>
    </row>
    <row r="82" spans="1:12" x14ac:dyDescent="0.3">
      <c r="A82" t="s">
        <v>121</v>
      </c>
      <c r="B82" s="7">
        <v>45565</v>
      </c>
      <c r="C82" t="s">
        <v>31</v>
      </c>
      <c r="D82" t="s">
        <v>23</v>
      </c>
      <c r="E82" t="s">
        <v>24</v>
      </c>
      <c r="F82" t="s">
        <v>51</v>
      </c>
      <c r="G82">
        <v>11150000</v>
      </c>
      <c r="H82">
        <v>11150000</v>
      </c>
      <c r="I82" t="s">
        <v>20</v>
      </c>
      <c r="J82" s="7">
        <v>46439</v>
      </c>
      <c r="K82">
        <v>7500000</v>
      </c>
      <c r="L82" t="s">
        <v>502</v>
      </c>
    </row>
    <row r="83" spans="1:12" x14ac:dyDescent="0.3">
      <c r="A83" t="s">
        <v>122</v>
      </c>
      <c r="B83" s="7">
        <v>45314</v>
      </c>
      <c r="C83" t="s">
        <v>22</v>
      </c>
      <c r="D83" t="s">
        <v>23</v>
      </c>
      <c r="E83" t="s">
        <v>24</v>
      </c>
      <c r="F83" t="s">
        <v>16</v>
      </c>
      <c r="G83">
        <v>4800000</v>
      </c>
      <c r="H83">
        <v>4800000</v>
      </c>
      <c r="I83" t="s">
        <v>20</v>
      </c>
      <c r="J83" s="7">
        <v>45677</v>
      </c>
      <c r="K83">
        <v>8000000</v>
      </c>
      <c r="L83" t="s">
        <v>42</v>
      </c>
    </row>
    <row r="84" spans="1:12" x14ac:dyDescent="0.3">
      <c r="A84" t="s">
        <v>123</v>
      </c>
      <c r="B84" s="7">
        <v>45457</v>
      </c>
      <c r="C84" t="s">
        <v>31</v>
      </c>
      <c r="D84" t="s">
        <v>23</v>
      </c>
      <c r="E84" t="s">
        <v>24</v>
      </c>
      <c r="F84" t="s">
        <v>51</v>
      </c>
      <c r="G84">
        <v>10150000</v>
      </c>
      <c r="H84">
        <v>10150000</v>
      </c>
      <c r="I84" t="s">
        <v>20</v>
      </c>
      <c r="J84" s="7">
        <v>45838</v>
      </c>
      <c r="K84">
        <v>7500000</v>
      </c>
      <c r="L84" t="s">
        <v>502</v>
      </c>
    </row>
    <row r="85" spans="1:12" x14ac:dyDescent="0.3">
      <c r="A85" t="s">
        <v>124</v>
      </c>
      <c r="B85" s="7">
        <v>45557</v>
      </c>
      <c r="C85" t="s">
        <v>13</v>
      </c>
      <c r="D85" t="s">
        <v>23</v>
      </c>
      <c r="E85" t="s">
        <v>24</v>
      </c>
      <c r="F85" t="s">
        <v>51</v>
      </c>
      <c r="G85">
        <v>10500000</v>
      </c>
      <c r="H85">
        <v>3250000</v>
      </c>
      <c r="I85" t="s">
        <v>26</v>
      </c>
      <c r="J85" s="7">
        <v>46226</v>
      </c>
      <c r="K85">
        <v>8500000</v>
      </c>
      <c r="L85" t="s">
        <v>38</v>
      </c>
    </row>
    <row r="86" spans="1:12" x14ac:dyDescent="0.3">
      <c r="A86" t="s">
        <v>125</v>
      </c>
      <c r="B86" s="7">
        <v>45506</v>
      </c>
      <c r="C86" t="s">
        <v>28</v>
      </c>
      <c r="D86" t="s">
        <v>14</v>
      </c>
      <c r="E86" t="s">
        <v>15</v>
      </c>
      <c r="F86" t="s">
        <v>16</v>
      </c>
      <c r="G86">
        <v>5350000</v>
      </c>
      <c r="H86">
        <v>5350000</v>
      </c>
      <c r="I86" t="s">
        <v>20</v>
      </c>
      <c r="J86" s="7">
        <v>46187</v>
      </c>
      <c r="K86">
        <v>7000000</v>
      </c>
      <c r="L86" t="s">
        <v>502</v>
      </c>
    </row>
    <row r="87" spans="1:12" x14ac:dyDescent="0.3">
      <c r="A87" t="s">
        <v>126</v>
      </c>
      <c r="B87" s="7">
        <v>45506</v>
      </c>
      <c r="C87" t="s">
        <v>31</v>
      </c>
      <c r="D87" t="s">
        <v>14</v>
      </c>
      <c r="E87" t="s">
        <v>15</v>
      </c>
      <c r="F87" t="s">
        <v>33</v>
      </c>
      <c r="G87">
        <v>8800000</v>
      </c>
      <c r="H87">
        <v>8800000</v>
      </c>
      <c r="I87" t="s">
        <v>20</v>
      </c>
      <c r="J87" s="7">
        <v>46077</v>
      </c>
      <c r="K87">
        <v>7500000</v>
      </c>
      <c r="L87" t="s">
        <v>40</v>
      </c>
    </row>
    <row r="88" spans="1:12" x14ac:dyDescent="0.3">
      <c r="A88" t="s">
        <v>127</v>
      </c>
      <c r="B88" s="7">
        <v>45416</v>
      </c>
      <c r="C88" t="s">
        <v>28</v>
      </c>
      <c r="D88" t="s">
        <v>23</v>
      </c>
      <c r="E88" t="s">
        <v>24</v>
      </c>
      <c r="F88" t="s">
        <v>16</v>
      </c>
      <c r="G88">
        <v>4300000</v>
      </c>
      <c r="H88">
        <v>4300000</v>
      </c>
      <c r="I88" t="s">
        <v>20</v>
      </c>
      <c r="J88" s="7">
        <v>45904</v>
      </c>
      <c r="K88">
        <v>7000000</v>
      </c>
      <c r="L88" t="s">
        <v>18</v>
      </c>
    </row>
    <row r="89" spans="1:12" x14ac:dyDescent="0.3">
      <c r="A89" t="s">
        <v>128</v>
      </c>
      <c r="B89" s="7">
        <v>45462</v>
      </c>
      <c r="C89" t="s">
        <v>35</v>
      </c>
      <c r="D89" t="s">
        <v>14</v>
      </c>
      <c r="E89" t="s">
        <v>15</v>
      </c>
      <c r="F89" t="s">
        <v>16</v>
      </c>
      <c r="G89">
        <v>5950000</v>
      </c>
      <c r="H89">
        <v>5950000</v>
      </c>
      <c r="I89" t="s">
        <v>20</v>
      </c>
      <c r="J89" s="7">
        <v>45762</v>
      </c>
      <c r="K89">
        <v>9000000</v>
      </c>
      <c r="L89" t="s">
        <v>502</v>
      </c>
    </row>
    <row r="90" spans="1:12" x14ac:dyDescent="0.3">
      <c r="A90" t="s">
        <v>129</v>
      </c>
      <c r="B90" s="7">
        <v>45426</v>
      </c>
      <c r="C90" t="s">
        <v>13</v>
      </c>
      <c r="D90" t="s">
        <v>23</v>
      </c>
      <c r="E90" t="s">
        <v>24</v>
      </c>
      <c r="F90" t="s">
        <v>33</v>
      </c>
      <c r="G90">
        <v>8150000</v>
      </c>
      <c r="H90">
        <v>1750000</v>
      </c>
      <c r="I90" t="s">
        <v>26</v>
      </c>
      <c r="J90" s="7">
        <v>45722</v>
      </c>
      <c r="K90">
        <v>8500000</v>
      </c>
      <c r="L90" t="s">
        <v>40</v>
      </c>
    </row>
    <row r="91" spans="1:12" x14ac:dyDescent="0.3">
      <c r="A91" t="s">
        <v>130</v>
      </c>
      <c r="B91" s="7">
        <v>45642</v>
      </c>
      <c r="C91" t="s">
        <v>13</v>
      </c>
      <c r="D91" t="s">
        <v>23</v>
      </c>
      <c r="E91" t="s">
        <v>24</v>
      </c>
      <c r="F91" t="s">
        <v>16</v>
      </c>
      <c r="G91">
        <v>4350000</v>
      </c>
      <c r="H91">
        <v>4350000</v>
      </c>
      <c r="I91" t="s">
        <v>20</v>
      </c>
      <c r="J91" s="7">
        <v>46400</v>
      </c>
      <c r="K91">
        <v>8500000</v>
      </c>
      <c r="L91" t="s">
        <v>42</v>
      </c>
    </row>
    <row r="92" spans="1:12" x14ac:dyDescent="0.3">
      <c r="A92" t="s">
        <v>131</v>
      </c>
      <c r="B92" s="7">
        <v>45424</v>
      </c>
      <c r="C92" t="s">
        <v>31</v>
      </c>
      <c r="D92" t="s">
        <v>23</v>
      </c>
      <c r="E92" t="s">
        <v>24</v>
      </c>
      <c r="F92" t="s">
        <v>33</v>
      </c>
      <c r="G92">
        <v>7000000</v>
      </c>
      <c r="H92">
        <v>7000000</v>
      </c>
      <c r="I92" t="s">
        <v>20</v>
      </c>
      <c r="J92" s="7">
        <v>45947</v>
      </c>
      <c r="K92">
        <v>7500000</v>
      </c>
      <c r="L92" t="s">
        <v>502</v>
      </c>
    </row>
    <row r="93" spans="1:12" x14ac:dyDescent="0.3">
      <c r="A93" t="s">
        <v>132</v>
      </c>
      <c r="B93" s="7">
        <v>45558</v>
      </c>
      <c r="C93" t="s">
        <v>13</v>
      </c>
      <c r="D93" t="s">
        <v>14</v>
      </c>
      <c r="E93" t="s">
        <v>15</v>
      </c>
      <c r="F93" t="s">
        <v>33</v>
      </c>
      <c r="G93">
        <v>8950000</v>
      </c>
      <c r="H93">
        <v>1150000</v>
      </c>
      <c r="I93" t="s">
        <v>26</v>
      </c>
      <c r="J93" s="7">
        <v>46260</v>
      </c>
      <c r="K93">
        <v>8500000</v>
      </c>
      <c r="L93" t="s">
        <v>502</v>
      </c>
    </row>
    <row r="94" spans="1:12" x14ac:dyDescent="0.3">
      <c r="A94" t="s">
        <v>133</v>
      </c>
      <c r="B94" s="7">
        <v>45500</v>
      </c>
      <c r="C94" t="s">
        <v>13</v>
      </c>
      <c r="D94" t="s">
        <v>14</v>
      </c>
      <c r="E94" t="s">
        <v>15</v>
      </c>
      <c r="F94" t="s">
        <v>51</v>
      </c>
      <c r="G94">
        <v>11900000</v>
      </c>
      <c r="H94">
        <v>11900000</v>
      </c>
      <c r="I94" t="s">
        <v>20</v>
      </c>
      <c r="J94" s="7">
        <v>45972</v>
      </c>
      <c r="K94">
        <v>8500000</v>
      </c>
      <c r="L94" t="s">
        <v>42</v>
      </c>
    </row>
    <row r="95" spans="1:12" x14ac:dyDescent="0.3">
      <c r="A95" t="s">
        <v>134</v>
      </c>
      <c r="B95" s="7">
        <v>45430</v>
      </c>
      <c r="C95" t="s">
        <v>22</v>
      </c>
      <c r="D95" t="s">
        <v>44</v>
      </c>
      <c r="E95" t="s">
        <v>45</v>
      </c>
      <c r="F95" t="s">
        <v>16</v>
      </c>
      <c r="G95">
        <v>5900000</v>
      </c>
      <c r="H95">
        <v>1600000</v>
      </c>
      <c r="I95" t="s">
        <v>26</v>
      </c>
      <c r="J95" s="7">
        <v>45643</v>
      </c>
      <c r="K95">
        <v>8000000</v>
      </c>
      <c r="L95" t="s">
        <v>52</v>
      </c>
    </row>
    <row r="96" spans="1:12" x14ac:dyDescent="0.3">
      <c r="A96" t="s">
        <v>135</v>
      </c>
      <c r="B96" s="7">
        <v>45419</v>
      </c>
      <c r="C96" t="s">
        <v>22</v>
      </c>
      <c r="D96" t="s">
        <v>14</v>
      </c>
      <c r="E96" t="s">
        <v>15</v>
      </c>
      <c r="F96" t="s">
        <v>25</v>
      </c>
      <c r="G96">
        <v>3200000</v>
      </c>
      <c r="H96">
        <v>1100000</v>
      </c>
      <c r="I96" t="s">
        <v>26</v>
      </c>
      <c r="J96" s="7">
        <v>45694</v>
      </c>
      <c r="K96">
        <v>8000000</v>
      </c>
      <c r="L96" t="s">
        <v>29</v>
      </c>
    </row>
    <row r="97" spans="1:12" x14ac:dyDescent="0.3">
      <c r="A97" t="s">
        <v>136</v>
      </c>
      <c r="B97" s="7">
        <v>45308</v>
      </c>
      <c r="C97" t="s">
        <v>13</v>
      </c>
      <c r="D97" t="s">
        <v>14</v>
      </c>
      <c r="E97" t="s">
        <v>15</v>
      </c>
      <c r="F97" t="s">
        <v>16</v>
      </c>
      <c r="G97">
        <v>5800000</v>
      </c>
      <c r="H97">
        <v>5800000</v>
      </c>
      <c r="I97" t="s">
        <v>20</v>
      </c>
      <c r="J97" s="7">
        <v>45730</v>
      </c>
      <c r="K97">
        <v>8500000</v>
      </c>
      <c r="L97" t="s">
        <v>29</v>
      </c>
    </row>
    <row r="98" spans="1:12" x14ac:dyDescent="0.3">
      <c r="A98" t="s">
        <v>137</v>
      </c>
      <c r="B98" s="7">
        <v>45524</v>
      </c>
      <c r="C98" t="s">
        <v>13</v>
      </c>
      <c r="D98" t="s">
        <v>14</v>
      </c>
      <c r="E98" t="s">
        <v>15</v>
      </c>
      <c r="F98" t="s">
        <v>51</v>
      </c>
      <c r="G98">
        <v>10300000</v>
      </c>
      <c r="H98">
        <v>0</v>
      </c>
      <c r="I98" t="s">
        <v>17</v>
      </c>
      <c r="J98" s="7">
        <v>46173</v>
      </c>
      <c r="K98">
        <v>8500000</v>
      </c>
      <c r="L98" t="s">
        <v>40</v>
      </c>
    </row>
    <row r="99" spans="1:12" x14ac:dyDescent="0.3">
      <c r="A99" t="s">
        <v>138</v>
      </c>
      <c r="B99" s="7">
        <v>45482</v>
      </c>
      <c r="C99" t="s">
        <v>22</v>
      </c>
      <c r="D99" t="s">
        <v>23</v>
      </c>
      <c r="E99" t="s">
        <v>24</v>
      </c>
      <c r="F99" t="s">
        <v>51</v>
      </c>
      <c r="G99">
        <v>10150000</v>
      </c>
      <c r="H99">
        <v>10150000</v>
      </c>
      <c r="I99" t="s">
        <v>20</v>
      </c>
      <c r="J99" s="7">
        <v>45728</v>
      </c>
      <c r="K99">
        <v>8000000</v>
      </c>
      <c r="L99" t="s">
        <v>29</v>
      </c>
    </row>
    <row r="100" spans="1:12" x14ac:dyDescent="0.3">
      <c r="A100" t="s">
        <v>139</v>
      </c>
      <c r="B100" s="7">
        <v>45537</v>
      </c>
      <c r="C100" t="s">
        <v>28</v>
      </c>
      <c r="D100" t="s">
        <v>23</v>
      </c>
      <c r="E100" t="s">
        <v>24</v>
      </c>
      <c r="F100" t="s">
        <v>33</v>
      </c>
      <c r="G100">
        <v>8600000</v>
      </c>
      <c r="H100">
        <v>8600000</v>
      </c>
      <c r="I100" t="s">
        <v>20</v>
      </c>
      <c r="J100" s="7">
        <v>46114</v>
      </c>
      <c r="K100">
        <v>7000000</v>
      </c>
      <c r="L100" t="s">
        <v>18</v>
      </c>
    </row>
    <row r="101" spans="1:12" x14ac:dyDescent="0.3">
      <c r="A101" t="s">
        <v>140</v>
      </c>
      <c r="B101" s="7">
        <v>45579</v>
      </c>
      <c r="C101" t="s">
        <v>31</v>
      </c>
      <c r="D101" t="s">
        <v>44</v>
      </c>
      <c r="E101" t="s">
        <v>45</v>
      </c>
      <c r="F101" t="s">
        <v>33</v>
      </c>
      <c r="G101">
        <v>8250000</v>
      </c>
      <c r="H101">
        <v>8250000</v>
      </c>
      <c r="I101" t="s">
        <v>20</v>
      </c>
      <c r="J101" s="7">
        <v>46218</v>
      </c>
      <c r="K101">
        <v>7500000</v>
      </c>
      <c r="L101" t="s">
        <v>18</v>
      </c>
    </row>
    <row r="102" spans="1:12" x14ac:dyDescent="0.3">
      <c r="A102" t="s">
        <v>141</v>
      </c>
      <c r="B102" s="7">
        <v>45597</v>
      </c>
      <c r="C102" t="s">
        <v>22</v>
      </c>
      <c r="D102" t="s">
        <v>14</v>
      </c>
      <c r="E102" t="s">
        <v>15</v>
      </c>
      <c r="F102" t="s">
        <v>16</v>
      </c>
      <c r="G102">
        <v>5150000</v>
      </c>
      <c r="H102">
        <v>5150000</v>
      </c>
      <c r="I102" t="s">
        <v>20</v>
      </c>
      <c r="J102" s="7">
        <v>45955</v>
      </c>
      <c r="K102">
        <v>8000000</v>
      </c>
      <c r="L102" t="s">
        <v>38</v>
      </c>
    </row>
    <row r="103" spans="1:12" x14ac:dyDescent="0.3">
      <c r="A103" t="s">
        <v>142</v>
      </c>
      <c r="B103" s="7">
        <v>45483</v>
      </c>
      <c r="C103" t="s">
        <v>35</v>
      </c>
      <c r="D103" t="s">
        <v>23</v>
      </c>
      <c r="E103" t="s">
        <v>24</v>
      </c>
      <c r="F103" t="s">
        <v>51</v>
      </c>
      <c r="G103">
        <v>10700000</v>
      </c>
      <c r="H103">
        <v>10700000</v>
      </c>
      <c r="I103" t="s">
        <v>20</v>
      </c>
      <c r="J103" s="7">
        <v>46279</v>
      </c>
      <c r="K103">
        <v>9000000</v>
      </c>
      <c r="L103" t="s">
        <v>502</v>
      </c>
    </row>
    <row r="104" spans="1:12" x14ac:dyDescent="0.3">
      <c r="A104" t="s">
        <v>143</v>
      </c>
      <c r="B104" s="7">
        <v>45629</v>
      </c>
      <c r="C104" t="s">
        <v>28</v>
      </c>
      <c r="D104" t="s">
        <v>44</v>
      </c>
      <c r="E104" t="s">
        <v>45</v>
      </c>
      <c r="F104" t="s">
        <v>16</v>
      </c>
      <c r="G104">
        <v>5750000</v>
      </c>
      <c r="H104">
        <v>650000</v>
      </c>
      <c r="I104" t="s">
        <v>26</v>
      </c>
      <c r="J104" s="7">
        <v>45838</v>
      </c>
      <c r="K104">
        <v>7000000</v>
      </c>
      <c r="L104" t="s">
        <v>38</v>
      </c>
    </row>
    <row r="105" spans="1:12" x14ac:dyDescent="0.3">
      <c r="A105" t="s">
        <v>144</v>
      </c>
      <c r="B105" s="7">
        <v>45580</v>
      </c>
      <c r="C105" t="s">
        <v>22</v>
      </c>
      <c r="D105" t="s">
        <v>14</v>
      </c>
      <c r="E105" t="s">
        <v>15</v>
      </c>
      <c r="F105" t="s">
        <v>25</v>
      </c>
      <c r="G105">
        <v>3200000</v>
      </c>
      <c r="H105">
        <v>3200000</v>
      </c>
      <c r="I105" t="s">
        <v>20</v>
      </c>
      <c r="J105" s="7">
        <v>46314</v>
      </c>
      <c r="K105">
        <v>8000000</v>
      </c>
      <c r="L105" t="s">
        <v>502</v>
      </c>
    </row>
    <row r="106" spans="1:12" x14ac:dyDescent="0.3">
      <c r="A106" t="s">
        <v>145</v>
      </c>
      <c r="B106" s="7">
        <v>45481</v>
      </c>
      <c r="C106" t="s">
        <v>31</v>
      </c>
      <c r="D106" t="s">
        <v>23</v>
      </c>
      <c r="E106" t="s">
        <v>24</v>
      </c>
      <c r="F106" t="s">
        <v>16</v>
      </c>
      <c r="G106">
        <v>5000000</v>
      </c>
      <c r="H106">
        <v>5000000</v>
      </c>
      <c r="I106" t="s">
        <v>20</v>
      </c>
      <c r="J106" s="7">
        <v>45892</v>
      </c>
      <c r="K106">
        <v>7500000</v>
      </c>
      <c r="L106" t="s">
        <v>18</v>
      </c>
    </row>
    <row r="107" spans="1:12" x14ac:dyDescent="0.3">
      <c r="A107" t="s">
        <v>146</v>
      </c>
      <c r="B107" s="7">
        <v>45558</v>
      </c>
      <c r="C107" t="s">
        <v>13</v>
      </c>
      <c r="D107" t="s">
        <v>23</v>
      </c>
      <c r="E107" t="s">
        <v>24</v>
      </c>
      <c r="F107" t="s">
        <v>16</v>
      </c>
      <c r="G107">
        <v>4150000</v>
      </c>
      <c r="H107">
        <v>0</v>
      </c>
      <c r="I107" t="s">
        <v>17</v>
      </c>
      <c r="J107" s="7">
        <v>46030</v>
      </c>
      <c r="K107">
        <v>8500000</v>
      </c>
      <c r="L107" t="s">
        <v>29</v>
      </c>
    </row>
    <row r="108" spans="1:12" x14ac:dyDescent="0.3">
      <c r="A108" t="s">
        <v>147</v>
      </c>
      <c r="B108" s="7">
        <v>45551</v>
      </c>
      <c r="C108" t="s">
        <v>35</v>
      </c>
      <c r="D108" t="s">
        <v>23</v>
      </c>
      <c r="E108" t="s">
        <v>24</v>
      </c>
      <c r="F108" t="s">
        <v>33</v>
      </c>
      <c r="G108">
        <v>7750000</v>
      </c>
      <c r="H108">
        <v>2100000</v>
      </c>
      <c r="I108" t="s">
        <v>26</v>
      </c>
      <c r="J108" s="7">
        <v>46406</v>
      </c>
      <c r="K108">
        <v>9000000</v>
      </c>
      <c r="L108" t="s">
        <v>502</v>
      </c>
    </row>
    <row r="109" spans="1:12" x14ac:dyDescent="0.3">
      <c r="A109" t="s">
        <v>148</v>
      </c>
      <c r="B109" s="7">
        <v>45568</v>
      </c>
      <c r="C109" t="s">
        <v>28</v>
      </c>
      <c r="D109" t="s">
        <v>44</v>
      </c>
      <c r="E109" t="s">
        <v>45</v>
      </c>
      <c r="F109" t="s">
        <v>16</v>
      </c>
      <c r="G109">
        <v>5000000</v>
      </c>
      <c r="H109">
        <v>5000000</v>
      </c>
      <c r="I109" t="s">
        <v>20</v>
      </c>
      <c r="J109" s="7">
        <v>45862</v>
      </c>
      <c r="K109">
        <v>7000000</v>
      </c>
      <c r="L109" t="s">
        <v>40</v>
      </c>
    </row>
    <row r="110" spans="1:12" x14ac:dyDescent="0.3">
      <c r="A110" t="s">
        <v>149</v>
      </c>
      <c r="B110" s="7">
        <v>45324</v>
      </c>
      <c r="C110" t="s">
        <v>28</v>
      </c>
      <c r="D110" t="s">
        <v>23</v>
      </c>
      <c r="E110" t="s">
        <v>24</v>
      </c>
      <c r="F110" t="s">
        <v>51</v>
      </c>
      <c r="G110">
        <v>11300000</v>
      </c>
      <c r="H110">
        <v>2050000</v>
      </c>
      <c r="I110" t="s">
        <v>26</v>
      </c>
      <c r="J110" s="7">
        <v>45794</v>
      </c>
      <c r="K110">
        <v>7000000</v>
      </c>
      <c r="L110" t="s">
        <v>40</v>
      </c>
    </row>
    <row r="111" spans="1:12" x14ac:dyDescent="0.3">
      <c r="A111" t="s">
        <v>150</v>
      </c>
      <c r="B111" s="7">
        <v>45440</v>
      </c>
      <c r="C111" t="s">
        <v>31</v>
      </c>
      <c r="D111" t="s">
        <v>44</v>
      </c>
      <c r="E111" t="s">
        <v>45</v>
      </c>
      <c r="F111" t="s">
        <v>33</v>
      </c>
      <c r="G111">
        <v>7850000</v>
      </c>
      <c r="H111">
        <v>2200000</v>
      </c>
      <c r="I111" t="s">
        <v>26</v>
      </c>
      <c r="J111" s="7">
        <v>46308</v>
      </c>
      <c r="K111">
        <v>7500000</v>
      </c>
      <c r="L111" t="s">
        <v>40</v>
      </c>
    </row>
    <row r="112" spans="1:12" x14ac:dyDescent="0.3">
      <c r="A112" t="s">
        <v>151</v>
      </c>
      <c r="B112" s="7">
        <v>45416</v>
      </c>
      <c r="C112" t="s">
        <v>28</v>
      </c>
      <c r="D112" t="s">
        <v>23</v>
      </c>
      <c r="E112" t="s">
        <v>24</v>
      </c>
      <c r="F112" t="s">
        <v>16</v>
      </c>
      <c r="G112">
        <v>5150000</v>
      </c>
      <c r="H112">
        <v>5150000</v>
      </c>
      <c r="I112" t="s">
        <v>20</v>
      </c>
      <c r="J112" s="7">
        <v>45885</v>
      </c>
      <c r="K112">
        <v>7000000</v>
      </c>
      <c r="L112" t="s">
        <v>502</v>
      </c>
    </row>
    <row r="113" spans="1:12" x14ac:dyDescent="0.3">
      <c r="A113" t="s">
        <v>152</v>
      </c>
      <c r="B113" s="7">
        <v>45622</v>
      </c>
      <c r="C113" t="s">
        <v>35</v>
      </c>
      <c r="D113" t="s">
        <v>14</v>
      </c>
      <c r="E113" t="s">
        <v>15</v>
      </c>
      <c r="F113" t="s">
        <v>33</v>
      </c>
      <c r="G113">
        <v>6700000</v>
      </c>
      <c r="H113">
        <v>6700000</v>
      </c>
      <c r="I113" t="s">
        <v>20</v>
      </c>
      <c r="J113" s="7">
        <v>46018</v>
      </c>
      <c r="K113">
        <v>9000000</v>
      </c>
      <c r="L113" t="s">
        <v>502</v>
      </c>
    </row>
    <row r="114" spans="1:12" x14ac:dyDescent="0.3">
      <c r="A114" t="s">
        <v>153</v>
      </c>
      <c r="B114" s="7">
        <v>45527</v>
      </c>
      <c r="C114" t="s">
        <v>31</v>
      </c>
      <c r="D114" t="s">
        <v>23</v>
      </c>
      <c r="E114" t="s">
        <v>24</v>
      </c>
      <c r="F114" t="s">
        <v>16</v>
      </c>
      <c r="G114">
        <v>4300000</v>
      </c>
      <c r="H114">
        <v>0</v>
      </c>
      <c r="I114" t="s">
        <v>17</v>
      </c>
      <c r="J114" s="7">
        <v>46266</v>
      </c>
      <c r="K114">
        <v>7500000</v>
      </c>
      <c r="L114" t="s">
        <v>502</v>
      </c>
    </row>
    <row r="115" spans="1:12" x14ac:dyDescent="0.3">
      <c r="A115" t="s">
        <v>154</v>
      </c>
      <c r="B115" s="7">
        <v>45476</v>
      </c>
      <c r="C115" t="s">
        <v>35</v>
      </c>
      <c r="D115" t="s">
        <v>44</v>
      </c>
      <c r="E115" t="s">
        <v>45</v>
      </c>
      <c r="F115" t="s">
        <v>33</v>
      </c>
      <c r="G115">
        <v>8600000</v>
      </c>
      <c r="H115">
        <v>2450000</v>
      </c>
      <c r="I115" t="s">
        <v>26</v>
      </c>
      <c r="J115" s="7">
        <v>46124</v>
      </c>
      <c r="K115">
        <v>9000000</v>
      </c>
      <c r="L115" t="s">
        <v>38</v>
      </c>
    </row>
    <row r="116" spans="1:12" x14ac:dyDescent="0.3">
      <c r="A116" t="s">
        <v>155</v>
      </c>
      <c r="B116" s="7">
        <v>45427</v>
      </c>
      <c r="C116" t="s">
        <v>22</v>
      </c>
      <c r="D116" t="s">
        <v>14</v>
      </c>
      <c r="E116" t="s">
        <v>15</v>
      </c>
      <c r="F116" t="s">
        <v>33</v>
      </c>
      <c r="G116">
        <v>6800000</v>
      </c>
      <c r="H116">
        <v>6800000</v>
      </c>
      <c r="I116" t="s">
        <v>20</v>
      </c>
      <c r="J116" s="7">
        <v>45609</v>
      </c>
      <c r="K116">
        <v>8000000</v>
      </c>
      <c r="L116" t="s">
        <v>502</v>
      </c>
    </row>
    <row r="117" spans="1:12" x14ac:dyDescent="0.3">
      <c r="A117" t="s">
        <v>156</v>
      </c>
      <c r="B117" s="7">
        <v>45648</v>
      </c>
      <c r="C117" t="s">
        <v>13</v>
      </c>
      <c r="D117" t="s">
        <v>14</v>
      </c>
      <c r="E117" t="s">
        <v>15</v>
      </c>
      <c r="F117" t="s">
        <v>16</v>
      </c>
      <c r="G117">
        <v>5400000</v>
      </c>
      <c r="H117">
        <v>0</v>
      </c>
      <c r="I117" t="s">
        <v>17</v>
      </c>
      <c r="J117" s="7">
        <v>45833</v>
      </c>
      <c r="K117">
        <v>8500000</v>
      </c>
      <c r="L117" t="s">
        <v>38</v>
      </c>
    </row>
    <row r="118" spans="1:12" x14ac:dyDescent="0.3">
      <c r="A118" t="s">
        <v>157</v>
      </c>
      <c r="B118" s="7">
        <v>45296</v>
      </c>
      <c r="C118" t="s">
        <v>28</v>
      </c>
      <c r="D118" t="s">
        <v>14</v>
      </c>
      <c r="E118" t="s">
        <v>15</v>
      </c>
      <c r="F118" t="s">
        <v>16</v>
      </c>
      <c r="G118">
        <v>4550000</v>
      </c>
      <c r="H118">
        <v>4550000</v>
      </c>
      <c r="I118" t="s">
        <v>20</v>
      </c>
      <c r="J118" s="7">
        <v>45585</v>
      </c>
      <c r="K118">
        <v>7000000</v>
      </c>
      <c r="L118" t="s">
        <v>502</v>
      </c>
    </row>
    <row r="119" spans="1:12" x14ac:dyDescent="0.3">
      <c r="A119" t="s">
        <v>158</v>
      </c>
      <c r="B119" s="7">
        <v>45486</v>
      </c>
      <c r="C119" t="s">
        <v>28</v>
      </c>
      <c r="D119" t="s">
        <v>23</v>
      </c>
      <c r="E119" t="s">
        <v>24</v>
      </c>
      <c r="F119" t="s">
        <v>33</v>
      </c>
      <c r="G119">
        <v>7900000</v>
      </c>
      <c r="H119">
        <v>7900000</v>
      </c>
      <c r="I119" t="s">
        <v>20</v>
      </c>
      <c r="J119" s="7">
        <v>46166</v>
      </c>
      <c r="K119">
        <v>7000000</v>
      </c>
      <c r="L119" t="s">
        <v>502</v>
      </c>
    </row>
    <row r="120" spans="1:12" x14ac:dyDescent="0.3">
      <c r="A120" t="s">
        <v>159</v>
      </c>
      <c r="B120" s="7">
        <v>45355</v>
      </c>
      <c r="C120" t="s">
        <v>13</v>
      </c>
      <c r="D120" t="s">
        <v>23</v>
      </c>
      <c r="E120" t="s">
        <v>24</v>
      </c>
      <c r="F120" t="s">
        <v>51</v>
      </c>
      <c r="G120">
        <v>12550000</v>
      </c>
      <c r="H120">
        <v>2000000</v>
      </c>
      <c r="I120" t="s">
        <v>26</v>
      </c>
      <c r="J120" s="7">
        <v>45606</v>
      </c>
      <c r="K120">
        <v>8500000</v>
      </c>
      <c r="L120" t="s">
        <v>42</v>
      </c>
    </row>
    <row r="121" spans="1:12" x14ac:dyDescent="0.3">
      <c r="A121" t="s">
        <v>160</v>
      </c>
      <c r="B121" s="7">
        <v>45450</v>
      </c>
      <c r="C121" t="s">
        <v>28</v>
      </c>
      <c r="D121" t="s">
        <v>23</v>
      </c>
      <c r="E121" t="s">
        <v>24</v>
      </c>
      <c r="F121" t="s">
        <v>51</v>
      </c>
      <c r="G121">
        <v>10550000</v>
      </c>
      <c r="H121">
        <v>0</v>
      </c>
      <c r="I121" t="s">
        <v>17</v>
      </c>
      <c r="J121" s="7">
        <v>46349</v>
      </c>
      <c r="K121">
        <v>7000000</v>
      </c>
      <c r="L121" t="s">
        <v>502</v>
      </c>
    </row>
    <row r="122" spans="1:12" x14ac:dyDescent="0.3">
      <c r="A122" t="s">
        <v>161</v>
      </c>
      <c r="B122" s="7">
        <v>45603</v>
      </c>
      <c r="C122" t="s">
        <v>31</v>
      </c>
      <c r="D122" t="s">
        <v>14</v>
      </c>
      <c r="E122" t="s">
        <v>15</v>
      </c>
      <c r="F122" t="s">
        <v>16</v>
      </c>
      <c r="G122">
        <v>4950000</v>
      </c>
      <c r="H122">
        <v>900000</v>
      </c>
      <c r="I122" t="s">
        <v>26</v>
      </c>
      <c r="J122" s="7">
        <v>46438</v>
      </c>
      <c r="K122">
        <v>7500000</v>
      </c>
      <c r="L122" t="s">
        <v>502</v>
      </c>
    </row>
    <row r="123" spans="1:12" x14ac:dyDescent="0.3">
      <c r="A123" t="s">
        <v>162</v>
      </c>
      <c r="B123" s="7">
        <v>45418</v>
      </c>
      <c r="C123" t="s">
        <v>31</v>
      </c>
      <c r="D123" t="s">
        <v>14</v>
      </c>
      <c r="E123" t="s">
        <v>15</v>
      </c>
      <c r="F123" t="s">
        <v>33</v>
      </c>
      <c r="G123">
        <v>8800000</v>
      </c>
      <c r="H123">
        <v>8800000</v>
      </c>
      <c r="I123" t="s">
        <v>20</v>
      </c>
      <c r="J123" s="7">
        <v>46200</v>
      </c>
      <c r="K123">
        <v>7500000</v>
      </c>
      <c r="L123" t="s">
        <v>29</v>
      </c>
    </row>
    <row r="124" spans="1:12" x14ac:dyDescent="0.3">
      <c r="A124" t="s">
        <v>163</v>
      </c>
      <c r="B124" s="7">
        <v>45550</v>
      </c>
      <c r="C124" t="s">
        <v>13</v>
      </c>
      <c r="D124" t="s">
        <v>14</v>
      </c>
      <c r="E124" t="s">
        <v>15</v>
      </c>
      <c r="F124" t="s">
        <v>25</v>
      </c>
      <c r="G124">
        <v>3150000</v>
      </c>
      <c r="H124">
        <v>1100000</v>
      </c>
      <c r="I124" t="s">
        <v>26</v>
      </c>
      <c r="J124" s="7">
        <v>45775</v>
      </c>
      <c r="K124">
        <v>8500000</v>
      </c>
      <c r="L124" t="s">
        <v>42</v>
      </c>
    </row>
    <row r="125" spans="1:12" x14ac:dyDescent="0.3">
      <c r="A125" t="s">
        <v>164</v>
      </c>
      <c r="B125" s="7">
        <v>45655</v>
      </c>
      <c r="C125" t="s">
        <v>22</v>
      </c>
      <c r="D125" t="s">
        <v>23</v>
      </c>
      <c r="E125" t="s">
        <v>24</v>
      </c>
      <c r="F125" t="s">
        <v>16</v>
      </c>
      <c r="G125">
        <v>5800000</v>
      </c>
      <c r="H125">
        <v>5800000</v>
      </c>
      <c r="I125" t="s">
        <v>20</v>
      </c>
      <c r="J125" s="7">
        <v>46552</v>
      </c>
      <c r="K125">
        <v>8000000</v>
      </c>
      <c r="L125" t="s">
        <v>52</v>
      </c>
    </row>
    <row r="126" spans="1:12" x14ac:dyDescent="0.3">
      <c r="A126" t="s">
        <v>165</v>
      </c>
      <c r="B126" s="7">
        <v>45653</v>
      </c>
      <c r="C126" t="s">
        <v>31</v>
      </c>
      <c r="D126" t="s">
        <v>23</v>
      </c>
      <c r="E126" t="s">
        <v>24</v>
      </c>
      <c r="F126" t="s">
        <v>16</v>
      </c>
      <c r="G126">
        <v>5150000</v>
      </c>
      <c r="H126">
        <v>1150000</v>
      </c>
      <c r="I126" t="s">
        <v>26</v>
      </c>
      <c r="J126" s="7">
        <v>46044</v>
      </c>
      <c r="K126">
        <v>7500000</v>
      </c>
      <c r="L126" t="s">
        <v>502</v>
      </c>
    </row>
    <row r="127" spans="1:12" x14ac:dyDescent="0.3">
      <c r="A127" t="s">
        <v>167</v>
      </c>
      <c r="B127" s="7">
        <v>45404</v>
      </c>
      <c r="C127" t="s">
        <v>35</v>
      </c>
      <c r="D127" t="s">
        <v>14</v>
      </c>
      <c r="E127" t="s">
        <v>15</v>
      </c>
      <c r="F127" t="s">
        <v>33</v>
      </c>
      <c r="G127">
        <v>7700000</v>
      </c>
      <c r="H127">
        <v>7700000</v>
      </c>
      <c r="I127" t="s">
        <v>20</v>
      </c>
      <c r="J127" s="7">
        <v>46052</v>
      </c>
      <c r="K127">
        <v>9000000</v>
      </c>
      <c r="L127" t="s">
        <v>502</v>
      </c>
    </row>
    <row r="128" spans="1:12" x14ac:dyDescent="0.3">
      <c r="A128" t="s">
        <v>168</v>
      </c>
      <c r="B128" s="7">
        <v>45441</v>
      </c>
      <c r="C128" t="s">
        <v>22</v>
      </c>
      <c r="D128" t="s">
        <v>23</v>
      </c>
      <c r="E128" t="s">
        <v>24</v>
      </c>
      <c r="F128" t="s">
        <v>33</v>
      </c>
      <c r="G128">
        <v>8600000</v>
      </c>
      <c r="H128">
        <v>8600000</v>
      </c>
      <c r="I128" t="s">
        <v>20</v>
      </c>
      <c r="J128" s="7">
        <v>46269</v>
      </c>
      <c r="K128">
        <v>8000000</v>
      </c>
      <c r="L128" t="s">
        <v>18</v>
      </c>
    </row>
    <row r="129" spans="1:12" x14ac:dyDescent="0.3">
      <c r="A129" t="s">
        <v>169</v>
      </c>
      <c r="B129" s="7">
        <v>45618</v>
      </c>
      <c r="C129" t="s">
        <v>28</v>
      </c>
      <c r="D129" t="s">
        <v>14</v>
      </c>
      <c r="E129" t="s">
        <v>15</v>
      </c>
      <c r="F129" t="s">
        <v>16</v>
      </c>
      <c r="G129">
        <v>5950000</v>
      </c>
      <c r="H129">
        <v>5950000</v>
      </c>
      <c r="I129" t="s">
        <v>20</v>
      </c>
      <c r="J129" s="7">
        <v>45933</v>
      </c>
      <c r="K129">
        <v>7000000</v>
      </c>
      <c r="L129" t="s">
        <v>502</v>
      </c>
    </row>
    <row r="130" spans="1:12" x14ac:dyDescent="0.3">
      <c r="A130" t="s">
        <v>170</v>
      </c>
      <c r="B130" s="7">
        <v>45522</v>
      </c>
      <c r="C130" t="s">
        <v>31</v>
      </c>
      <c r="D130" t="s">
        <v>44</v>
      </c>
      <c r="E130" t="s">
        <v>45</v>
      </c>
      <c r="F130" t="s">
        <v>33</v>
      </c>
      <c r="G130">
        <v>8100000</v>
      </c>
      <c r="H130">
        <v>8100000</v>
      </c>
      <c r="I130" t="s">
        <v>20</v>
      </c>
      <c r="J130" s="7">
        <v>45731</v>
      </c>
      <c r="K130">
        <v>7500000</v>
      </c>
      <c r="L130" t="s">
        <v>502</v>
      </c>
    </row>
    <row r="131" spans="1:12" x14ac:dyDescent="0.3">
      <c r="A131" t="s">
        <v>171</v>
      </c>
      <c r="B131" s="7">
        <v>45485</v>
      </c>
      <c r="C131" t="s">
        <v>28</v>
      </c>
      <c r="D131" t="s">
        <v>14</v>
      </c>
      <c r="E131" t="s">
        <v>15</v>
      </c>
      <c r="F131" t="s">
        <v>33</v>
      </c>
      <c r="G131">
        <v>7200000</v>
      </c>
      <c r="H131">
        <v>7200000</v>
      </c>
      <c r="I131" t="s">
        <v>20</v>
      </c>
      <c r="J131" s="7">
        <v>46176</v>
      </c>
      <c r="K131">
        <v>7000000</v>
      </c>
      <c r="L131" t="s">
        <v>502</v>
      </c>
    </row>
    <row r="132" spans="1:12" x14ac:dyDescent="0.3">
      <c r="A132" t="s">
        <v>172</v>
      </c>
      <c r="B132" s="7">
        <v>45329</v>
      </c>
      <c r="C132" t="s">
        <v>31</v>
      </c>
      <c r="D132" t="s">
        <v>44</v>
      </c>
      <c r="E132" t="s">
        <v>45</v>
      </c>
      <c r="F132" t="s">
        <v>33</v>
      </c>
      <c r="G132">
        <v>8850000</v>
      </c>
      <c r="H132">
        <v>8850000</v>
      </c>
      <c r="I132" t="s">
        <v>20</v>
      </c>
      <c r="J132" s="7">
        <v>45999</v>
      </c>
      <c r="K132">
        <v>7500000</v>
      </c>
      <c r="L132" t="s">
        <v>29</v>
      </c>
    </row>
    <row r="133" spans="1:12" x14ac:dyDescent="0.3">
      <c r="A133" t="s">
        <v>173</v>
      </c>
      <c r="B133" s="7">
        <v>45434</v>
      </c>
      <c r="C133" t="s">
        <v>22</v>
      </c>
      <c r="D133" t="s">
        <v>14</v>
      </c>
      <c r="E133" t="s">
        <v>15</v>
      </c>
      <c r="F133" t="s">
        <v>16</v>
      </c>
      <c r="G133">
        <v>4700000</v>
      </c>
      <c r="H133">
        <v>4700000</v>
      </c>
      <c r="I133" t="s">
        <v>20</v>
      </c>
      <c r="J133" s="7">
        <v>46082</v>
      </c>
      <c r="K133">
        <v>8000000</v>
      </c>
      <c r="L133" t="s">
        <v>38</v>
      </c>
    </row>
    <row r="134" spans="1:12" x14ac:dyDescent="0.3">
      <c r="A134" t="s">
        <v>174</v>
      </c>
      <c r="B134" s="7">
        <v>45372</v>
      </c>
      <c r="C134" t="s">
        <v>13</v>
      </c>
      <c r="D134" t="s">
        <v>23</v>
      </c>
      <c r="E134" t="s">
        <v>24</v>
      </c>
      <c r="F134" t="s">
        <v>16</v>
      </c>
      <c r="G134">
        <v>4700000</v>
      </c>
      <c r="H134">
        <v>650000</v>
      </c>
      <c r="I134" t="s">
        <v>26</v>
      </c>
      <c r="J134" s="7">
        <v>45878</v>
      </c>
      <c r="K134">
        <v>8500000</v>
      </c>
      <c r="L134" t="s">
        <v>40</v>
      </c>
    </row>
    <row r="135" spans="1:12" x14ac:dyDescent="0.3">
      <c r="A135" t="s">
        <v>176</v>
      </c>
      <c r="B135" s="7">
        <v>45597</v>
      </c>
      <c r="C135" t="s">
        <v>28</v>
      </c>
      <c r="D135" t="s">
        <v>23</v>
      </c>
      <c r="E135" t="s">
        <v>24</v>
      </c>
      <c r="F135" t="s">
        <v>25</v>
      </c>
      <c r="G135">
        <v>2800000</v>
      </c>
      <c r="H135">
        <v>600000</v>
      </c>
      <c r="I135" t="s">
        <v>26</v>
      </c>
      <c r="J135" s="7">
        <v>45863</v>
      </c>
      <c r="K135">
        <v>7000000</v>
      </c>
      <c r="L135" t="s">
        <v>502</v>
      </c>
    </row>
    <row r="136" spans="1:12" x14ac:dyDescent="0.3">
      <c r="A136" t="s">
        <v>177</v>
      </c>
      <c r="B136" s="7">
        <v>45564</v>
      </c>
      <c r="C136" t="s">
        <v>35</v>
      </c>
      <c r="D136" t="s">
        <v>23</v>
      </c>
      <c r="E136" t="s">
        <v>24</v>
      </c>
      <c r="F136" t="s">
        <v>33</v>
      </c>
      <c r="G136">
        <v>8550000</v>
      </c>
      <c r="H136">
        <v>8550000</v>
      </c>
      <c r="I136" t="s">
        <v>20</v>
      </c>
      <c r="J136" s="7">
        <v>45996</v>
      </c>
      <c r="K136">
        <v>9000000</v>
      </c>
      <c r="L136" t="s">
        <v>18</v>
      </c>
    </row>
    <row r="137" spans="1:12" x14ac:dyDescent="0.3">
      <c r="A137" t="s">
        <v>178</v>
      </c>
      <c r="B137" s="7">
        <v>45415</v>
      </c>
      <c r="C137" t="s">
        <v>35</v>
      </c>
      <c r="D137" t="s">
        <v>44</v>
      </c>
      <c r="E137" t="s">
        <v>45</v>
      </c>
      <c r="F137" t="s">
        <v>16</v>
      </c>
      <c r="G137">
        <v>5650000</v>
      </c>
      <c r="H137">
        <v>700000</v>
      </c>
      <c r="I137" t="s">
        <v>26</v>
      </c>
      <c r="J137" s="7">
        <v>46207</v>
      </c>
      <c r="K137">
        <v>9000000</v>
      </c>
      <c r="L137" t="s">
        <v>502</v>
      </c>
    </row>
    <row r="138" spans="1:12" x14ac:dyDescent="0.3">
      <c r="A138" t="s">
        <v>179</v>
      </c>
      <c r="B138" s="7">
        <v>45576</v>
      </c>
      <c r="C138" t="s">
        <v>31</v>
      </c>
      <c r="D138" t="s">
        <v>44</v>
      </c>
      <c r="E138" t="s">
        <v>45</v>
      </c>
      <c r="F138" t="s">
        <v>33</v>
      </c>
      <c r="G138">
        <v>8550000</v>
      </c>
      <c r="H138">
        <v>2900000</v>
      </c>
      <c r="I138" t="s">
        <v>26</v>
      </c>
      <c r="J138" s="7">
        <v>45851</v>
      </c>
      <c r="K138">
        <v>7500000</v>
      </c>
      <c r="L138" t="s">
        <v>18</v>
      </c>
    </row>
    <row r="139" spans="1:12" x14ac:dyDescent="0.3">
      <c r="A139" t="s">
        <v>180</v>
      </c>
      <c r="B139" s="7">
        <v>45505</v>
      </c>
      <c r="C139" t="s">
        <v>28</v>
      </c>
      <c r="D139" t="s">
        <v>23</v>
      </c>
      <c r="E139" t="s">
        <v>24</v>
      </c>
      <c r="F139" t="s">
        <v>16</v>
      </c>
      <c r="G139">
        <v>4550000</v>
      </c>
      <c r="H139">
        <v>4550000</v>
      </c>
      <c r="I139" t="s">
        <v>20</v>
      </c>
      <c r="J139" s="7">
        <v>46023</v>
      </c>
      <c r="K139">
        <v>7000000</v>
      </c>
      <c r="L139" t="s">
        <v>38</v>
      </c>
    </row>
    <row r="140" spans="1:12" x14ac:dyDescent="0.3">
      <c r="A140" t="s">
        <v>181</v>
      </c>
      <c r="B140" s="7">
        <v>45361</v>
      </c>
      <c r="C140" t="s">
        <v>22</v>
      </c>
      <c r="D140" t="s">
        <v>23</v>
      </c>
      <c r="E140" t="s">
        <v>24</v>
      </c>
      <c r="F140" t="s">
        <v>25</v>
      </c>
      <c r="G140">
        <v>2800000</v>
      </c>
      <c r="H140">
        <v>2800000</v>
      </c>
      <c r="I140" t="s">
        <v>20</v>
      </c>
      <c r="J140" s="7">
        <v>45585</v>
      </c>
      <c r="K140">
        <v>8000000</v>
      </c>
      <c r="L140" t="s">
        <v>29</v>
      </c>
    </row>
    <row r="141" spans="1:12" x14ac:dyDescent="0.3">
      <c r="A141" t="s">
        <v>182</v>
      </c>
      <c r="B141" s="7">
        <v>45560</v>
      </c>
      <c r="C141" t="s">
        <v>28</v>
      </c>
      <c r="D141" t="s">
        <v>23</v>
      </c>
      <c r="E141" t="s">
        <v>24</v>
      </c>
      <c r="F141" t="s">
        <v>16</v>
      </c>
      <c r="G141">
        <v>5950000</v>
      </c>
      <c r="H141">
        <v>5950000</v>
      </c>
      <c r="I141" t="s">
        <v>20</v>
      </c>
      <c r="J141" s="7">
        <v>46136</v>
      </c>
      <c r="K141">
        <v>7000000</v>
      </c>
      <c r="L141" t="s">
        <v>502</v>
      </c>
    </row>
    <row r="142" spans="1:12" x14ac:dyDescent="0.3">
      <c r="A142" t="s">
        <v>183</v>
      </c>
      <c r="B142" s="7">
        <v>45595</v>
      </c>
      <c r="C142" t="s">
        <v>35</v>
      </c>
      <c r="D142" t="s">
        <v>23</v>
      </c>
      <c r="E142" t="s">
        <v>24</v>
      </c>
      <c r="F142" t="s">
        <v>33</v>
      </c>
      <c r="G142">
        <v>8850000</v>
      </c>
      <c r="H142">
        <v>8850000</v>
      </c>
      <c r="I142" t="s">
        <v>26</v>
      </c>
      <c r="J142" s="7">
        <v>46261</v>
      </c>
      <c r="K142">
        <v>9000000</v>
      </c>
      <c r="L142" t="s">
        <v>42</v>
      </c>
    </row>
    <row r="143" spans="1:12" x14ac:dyDescent="0.3">
      <c r="A143" t="s">
        <v>184</v>
      </c>
      <c r="B143" s="7">
        <v>45416</v>
      </c>
      <c r="C143" t="s">
        <v>22</v>
      </c>
      <c r="D143" t="s">
        <v>44</v>
      </c>
      <c r="E143" t="s">
        <v>45</v>
      </c>
      <c r="F143" t="s">
        <v>16</v>
      </c>
      <c r="G143">
        <v>5350000</v>
      </c>
      <c r="H143">
        <v>5350000</v>
      </c>
      <c r="I143" t="s">
        <v>20</v>
      </c>
      <c r="J143" s="7">
        <v>45649</v>
      </c>
      <c r="K143">
        <v>8000000</v>
      </c>
      <c r="L143" t="s">
        <v>38</v>
      </c>
    </row>
    <row r="144" spans="1:12" x14ac:dyDescent="0.3">
      <c r="A144" t="s">
        <v>185</v>
      </c>
      <c r="B144" s="7">
        <v>45405</v>
      </c>
      <c r="C144" t="s">
        <v>13</v>
      </c>
      <c r="D144" t="s">
        <v>14</v>
      </c>
      <c r="E144" t="s">
        <v>15</v>
      </c>
      <c r="F144" t="s">
        <v>16</v>
      </c>
      <c r="G144">
        <v>4100000</v>
      </c>
      <c r="H144">
        <v>1050000</v>
      </c>
      <c r="I144" t="s">
        <v>26</v>
      </c>
      <c r="J144" s="7">
        <v>45826</v>
      </c>
      <c r="K144">
        <v>8500000</v>
      </c>
      <c r="L144" t="s">
        <v>502</v>
      </c>
    </row>
    <row r="145" spans="1:12" x14ac:dyDescent="0.3">
      <c r="A145" t="s">
        <v>186</v>
      </c>
      <c r="B145" s="7">
        <v>45361</v>
      </c>
      <c r="C145" t="s">
        <v>13</v>
      </c>
      <c r="D145" t="s">
        <v>23</v>
      </c>
      <c r="E145" t="s">
        <v>24</v>
      </c>
      <c r="F145" t="s">
        <v>51</v>
      </c>
      <c r="G145">
        <v>10550000</v>
      </c>
      <c r="H145">
        <v>0</v>
      </c>
      <c r="I145" t="s">
        <v>17</v>
      </c>
      <c r="J145" s="7">
        <v>45676</v>
      </c>
      <c r="K145">
        <v>8500000</v>
      </c>
      <c r="L145" t="s">
        <v>29</v>
      </c>
    </row>
    <row r="146" spans="1:12" x14ac:dyDescent="0.3">
      <c r="A146" t="s">
        <v>187</v>
      </c>
      <c r="B146" s="7">
        <v>45592</v>
      </c>
      <c r="C146" t="s">
        <v>35</v>
      </c>
      <c r="D146" t="s">
        <v>23</v>
      </c>
      <c r="E146" t="s">
        <v>24</v>
      </c>
      <c r="F146" t="s">
        <v>33</v>
      </c>
      <c r="G146">
        <v>7550000</v>
      </c>
      <c r="H146">
        <v>2650000</v>
      </c>
      <c r="I146" t="s">
        <v>26</v>
      </c>
      <c r="J146" s="7">
        <v>45975</v>
      </c>
      <c r="K146">
        <v>9000000</v>
      </c>
      <c r="L146" t="s">
        <v>502</v>
      </c>
    </row>
    <row r="147" spans="1:12" x14ac:dyDescent="0.3">
      <c r="A147" t="s">
        <v>188</v>
      </c>
      <c r="B147" s="7">
        <v>45480</v>
      </c>
      <c r="C147" t="s">
        <v>31</v>
      </c>
      <c r="D147" t="s">
        <v>14</v>
      </c>
      <c r="E147" t="s">
        <v>15</v>
      </c>
      <c r="F147" t="s">
        <v>33</v>
      </c>
      <c r="G147">
        <v>7000000</v>
      </c>
      <c r="H147">
        <v>7000000</v>
      </c>
      <c r="I147" t="s">
        <v>20</v>
      </c>
      <c r="J147" s="7">
        <v>46181</v>
      </c>
      <c r="K147">
        <v>7500000</v>
      </c>
      <c r="L147" t="s">
        <v>42</v>
      </c>
    </row>
    <row r="148" spans="1:12" x14ac:dyDescent="0.3">
      <c r="A148" t="s">
        <v>189</v>
      </c>
      <c r="B148" s="7">
        <v>45441</v>
      </c>
      <c r="C148" t="s">
        <v>28</v>
      </c>
      <c r="D148" t="s">
        <v>44</v>
      </c>
      <c r="E148" t="s">
        <v>45</v>
      </c>
      <c r="F148" t="s">
        <v>33</v>
      </c>
      <c r="G148">
        <v>7500000</v>
      </c>
      <c r="H148">
        <v>1600000</v>
      </c>
      <c r="I148" t="s">
        <v>26</v>
      </c>
      <c r="J148" s="7">
        <v>46126</v>
      </c>
      <c r="K148">
        <v>7000000</v>
      </c>
      <c r="L148" t="s">
        <v>29</v>
      </c>
    </row>
    <row r="149" spans="1:12" x14ac:dyDescent="0.3">
      <c r="A149" t="s">
        <v>190</v>
      </c>
      <c r="B149" s="7">
        <v>45364</v>
      </c>
      <c r="C149" t="s">
        <v>35</v>
      </c>
      <c r="D149" t="s">
        <v>23</v>
      </c>
      <c r="E149" t="s">
        <v>24</v>
      </c>
      <c r="F149" t="s">
        <v>51</v>
      </c>
      <c r="G149">
        <v>11250000</v>
      </c>
      <c r="H149">
        <v>2750000</v>
      </c>
      <c r="I149" t="s">
        <v>26</v>
      </c>
      <c r="J149" s="7">
        <v>46031</v>
      </c>
      <c r="K149">
        <v>9000000</v>
      </c>
      <c r="L149" t="s">
        <v>38</v>
      </c>
    </row>
    <row r="150" spans="1:12" x14ac:dyDescent="0.3">
      <c r="A150" t="s">
        <v>191</v>
      </c>
      <c r="B150" s="7">
        <v>45563</v>
      </c>
      <c r="C150" t="s">
        <v>35</v>
      </c>
      <c r="D150" t="s">
        <v>14</v>
      </c>
      <c r="E150" t="s">
        <v>15</v>
      </c>
      <c r="F150" t="s">
        <v>16</v>
      </c>
      <c r="G150">
        <v>4200000</v>
      </c>
      <c r="H150">
        <v>4200000</v>
      </c>
      <c r="I150" t="s">
        <v>20</v>
      </c>
      <c r="J150" s="7">
        <v>46415</v>
      </c>
      <c r="K150">
        <v>9000000</v>
      </c>
      <c r="L150" t="s">
        <v>29</v>
      </c>
    </row>
    <row r="151" spans="1:12" x14ac:dyDescent="0.3">
      <c r="A151" t="s">
        <v>192</v>
      </c>
      <c r="B151" s="7">
        <v>45530</v>
      </c>
      <c r="C151" t="s">
        <v>35</v>
      </c>
      <c r="D151" t="s">
        <v>23</v>
      </c>
      <c r="E151" t="s">
        <v>24</v>
      </c>
      <c r="F151" t="s">
        <v>16</v>
      </c>
      <c r="G151">
        <v>4200000</v>
      </c>
      <c r="H151">
        <v>1000000</v>
      </c>
      <c r="I151" t="s">
        <v>26</v>
      </c>
      <c r="J151" s="7">
        <v>46087</v>
      </c>
      <c r="K151">
        <v>9000000</v>
      </c>
      <c r="L151" t="s">
        <v>29</v>
      </c>
    </row>
    <row r="152" spans="1:12" x14ac:dyDescent="0.3">
      <c r="A152" t="s">
        <v>193</v>
      </c>
      <c r="B152" s="7">
        <v>45414</v>
      </c>
      <c r="C152" t="s">
        <v>22</v>
      </c>
      <c r="D152" t="s">
        <v>23</v>
      </c>
      <c r="E152" t="s">
        <v>24</v>
      </c>
      <c r="F152" t="s">
        <v>25</v>
      </c>
      <c r="G152">
        <v>3000000</v>
      </c>
      <c r="H152">
        <v>850000</v>
      </c>
      <c r="I152" t="s">
        <v>26</v>
      </c>
      <c r="J152" s="7">
        <v>45910</v>
      </c>
      <c r="K152">
        <v>8000000</v>
      </c>
      <c r="L152" t="s">
        <v>52</v>
      </c>
    </row>
    <row r="153" spans="1:12" x14ac:dyDescent="0.3">
      <c r="A153" t="s">
        <v>194</v>
      </c>
      <c r="B153" s="7">
        <v>45404</v>
      </c>
      <c r="C153" t="s">
        <v>31</v>
      </c>
      <c r="D153" t="s">
        <v>14</v>
      </c>
      <c r="E153" t="s">
        <v>15</v>
      </c>
      <c r="F153" t="s">
        <v>33</v>
      </c>
      <c r="G153">
        <v>6900000</v>
      </c>
      <c r="H153">
        <v>0</v>
      </c>
      <c r="I153" t="s">
        <v>17</v>
      </c>
      <c r="J153" s="7">
        <v>46245</v>
      </c>
      <c r="K153">
        <v>7500000</v>
      </c>
      <c r="L153" t="s">
        <v>42</v>
      </c>
    </row>
    <row r="154" spans="1:12" x14ac:dyDescent="0.3">
      <c r="A154" t="s">
        <v>195</v>
      </c>
      <c r="B154" s="7">
        <v>45462</v>
      </c>
      <c r="C154" t="s">
        <v>31</v>
      </c>
      <c r="D154" t="s">
        <v>23</v>
      </c>
      <c r="E154" t="s">
        <v>24</v>
      </c>
      <c r="F154" t="s">
        <v>16</v>
      </c>
      <c r="G154">
        <v>5550000</v>
      </c>
      <c r="H154">
        <v>1450000</v>
      </c>
      <c r="I154" t="s">
        <v>26</v>
      </c>
      <c r="J154" s="7">
        <v>46079</v>
      </c>
      <c r="K154">
        <v>7500000</v>
      </c>
      <c r="L154" t="s">
        <v>502</v>
      </c>
    </row>
    <row r="155" spans="1:12" x14ac:dyDescent="0.3">
      <c r="A155" t="s">
        <v>196</v>
      </c>
      <c r="B155" s="7">
        <v>45465</v>
      </c>
      <c r="C155" t="s">
        <v>13</v>
      </c>
      <c r="D155" t="s">
        <v>14</v>
      </c>
      <c r="E155" t="s">
        <v>15</v>
      </c>
      <c r="F155" t="s">
        <v>16</v>
      </c>
      <c r="G155">
        <v>4900000</v>
      </c>
      <c r="H155">
        <v>4900000</v>
      </c>
      <c r="I155" t="s">
        <v>20</v>
      </c>
      <c r="J155" s="7">
        <v>46326</v>
      </c>
      <c r="K155">
        <v>8500000</v>
      </c>
      <c r="L155" t="s">
        <v>18</v>
      </c>
    </row>
    <row r="156" spans="1:12" x14ac:dyDescent="0.3">
      <c r="A156" t="s">
        <v>197</v>
      </c>
      <c r="B156" s="7">
        <v>45419</v>
      </c>
      <c r="C156" t="s">
        <v>31</v>
      </c>
      <c r="D156" t="s">
        <v>44</v>
      </c>
      <c r="E156" t="s">
        <v>45</v>
      </c>
      <c r="F156" t="s">
        <v>33</v>
      </c>
      <c r="G156">
        <v>7800000</v>
      </c>
      <c r="H156">
        <v>7800000</v>
      </c>
      <c r="I156" t="s">
        <v>20</v>
      </c>
      <c r="J156" s="7">
        <v>45762</v>
      </c>
      <c r="K156">
        <v>7500000</v>
      </c>
      <c r="L156" t="s">
        <v>502</v>
      </c>
    </row>
    <row r="157" spans="1:12" x14ac:dyDescent="0.3">
      <c r="A157" t="s">
        <v>198</v>
      </c>
      <c r="B157" s="7">
        <v>45390</v>
      </c>
      <c r="C157" t="s">
        <v>13</v>
      </c>
      <c r="D157" t="s">
        <v>23</v>
      </c>
      <c r="E157" t="s">
        <v>24</v>
      </c>
      <c r="F157" t="s">
        <v>33</v>
      </c>
      <c r="G157">
        <v>7250000</v>
      </c>
      <c r="H157">
        <v>1950000</v>
      </c>
      <c r="I157" t="s">
        <v>26</v>
      </c>
      <c r="J157" s="7">
        <v>45985</v>
      </c>
      <c r="K157">
        <v>8500000</v>
      </c>
      <c r="L157" t="s">
        <v>502</v>
      </c>
    </row>
    <row r="158" spans="1:12" x14ac:dyDescent="0.3">
      <c r="A158" t="s">
        <v>199</v>
      </c>
      <c r="B158" s="7">
        <v>45507</v>
      </c>
      <c r="C158" t="s">
        <v>35</v>
      </c>
      <c r="D158" t="s">
        <v>23</v>
      </c>
      <c r="E158" t="s">
        <v>24</v>
      </c>
      <c r="F158" t="s">
        <v>25</v>
      </c>
      <c r="G158">
        <v>3300000</v>
      </c>
      <c r="H158">
        <v>400000</v>
      </c>
      <c r="I158" t="s">
        <v>26</v>
      </c>
      <c r="J158" s="7">
        <v>46045</v>
      </c>
      <c r="K158">
        <v>9000000</v>
      </c>
      <c r="L158" t="s">
        <v>29</v>
      </c>
    </row>
    <row r="159" spans="1:12" x14ac:dyDescent="0.3">
      <c r="A159" t="s">
        <v>200</v>
      </c>
      <c r="B159" s="7">
        <v>45486</v>
      </c>
      <c r="C159" t="s">
        <v>31</v>
      </c>
      <c r="D159" t="s">
        <v>23</v>
      </c>
      <c r="E159" t="s">
        <v>24</v>
      </c>
      <c r="F159" t="s">
        <v>16</v>
      </c>
      <c r="G159">
        <v>4200000</v>
      </c>
      <c r="H159">
        <v>4200000</v>
      </c>
      <c r="I159" t="s">
        <v>20</v>
      </c>
      <c r="J159" s="7">
        <v>45671</v>
      </c>
      <c r="K159">
        <v>7500000</v>
      </c>
      <c r="L159" t="s">
        <v>18</v>
      </c>
    </row>
    <row r="160" spans="1:12" x14ac:dyDescent="0.3">
      <c r="A160" t="s">
        <v>201</v>
      </c>
      <c r="B160" s="7">
        <v>45336</v>
      </c>
      <c r="C160" t="s">
        <v>28</v>
      </c>
      <c r="D160" t="s">
        <v>14</v>
      </c>
      <c r="E160" t="s">
        <v>15</v>
      </c>
      <c r="F160" t="s">
        <v>25</v>
      </c>
      <c r="G160">
        <v>2750000</v>
      </c>
      <c r="H160">
        <v>2750000</v>
      </c>
      <c r="I160" t="s">
        <v>20</v>
      </c>
      <c r="J160" s="7">
        <v>46033</v>
      </c>
      <c r="K160">
        <v>7000000</v>
      </c>
      <c r="L160" t="s">
        <v>42</v>
      </c>
    </row>
    <row r="161" spans="1:12" x14ac:dyDescent="0.3">
      <c r="A161" t="s">
        <v>202</v>
      </c>
      <c r="B161" s="7">
        <v>45396</v>
      </c>
      <c r="C161" t="s">
        <v>31</v>
      </c>
      <c r="D161" t="s">
        <v>23</v>
      </c>
      <c r="E161" t="s">
        <v>24</v>
      </c>
      <c r="F161" t="s">
        <v>33</v>
      </c>
      <c r="G161">
        <v>6800000</v>
      </c>
      <c r="H161">
        <v>6800000</v>
      </c>
      <c r="I161" t="s">
        <v>20</v>
      </c>
      <c r="J161" s="7">
        <v>46291</v>
      </c>
      <c r="K161">
        <v>7500000</v>
      </c>
      <c r="L161" t="s">
        <v>502</v>
      </c>
    </row>
    <row r="162" spans="1:12" x14ac:dyDescent="0.3">
      <c r="A162" t="s">
        <v>203</v>
      </c>
      <c r="B162" s="7">
        <v>45481</v>
      </c>
      <c r="C162" t="s">
        <v>35</v>
      </c>
      <c r="D162" t="s">
        <v>14</v>
      </c>
      <c r="E162" t="s">
        <v>15</v>
      </c>
      <c r="F162" t="s">
        <v>33</v>
      </c>
      <c r="G162">
        <v>7100000</v>
      </c>
      <c r="H162">
        <v>1500000</v>
      </c>
      <c r="I162" t="s">
        <v>26</v>
      </c>
      <c r="J162" s="7">
        <v>45982</v>
      </c>
      <c r="K162">
        <v>9000000</v>
      </c>
      <c r="L162" t="s">
        <v>18</v>
      </c>
    </row>
    <row r="163" spans="1:12" x14ac:dyDescent="0.3">
      <c r="A163" t="s">
        <v>204</v>
      </c>
      <c r="B163" s="7">
        <v>45299</v>
      </c>
      <c r="C163" t="s">
        <v>35</v>
      </c>
      <c r="D163" t="s">
        <v>14</v>
      </c>
      <c r="E163" t="s">
        <v>15</v>
      </c>
      <c r="F163" t="s">
        <v>51</v>
      </c>
      <c r="G163">
        <v>12850000</v>
      </c>
      <c r="H163">
        <v>2400000</v>
      </c>
      <c r="I163" t="s">
        <v>26</v>
      </c>
      <c r="J163" s="7">
        <v>45992</v>
      </c>
      <c r="K163">
        <v>9000000</v>
      </c>
      <c r="L163" t="s">
        <v>502</v>
      </c>
    </row>
    <row r="164" spans="1:12" x14ac:dyDescent="0.3">
      <c r="A164" t="s">
        <v>205</v>
      </c>
      <c r="B164" s="7">
        <v>45578</v>
      </c>
      <c r="C164" t="s">
        <v>35</v>
      </c>
      <c r="D164" t="s">
        <v>14</v>
      </c>
      <c r="E164" t="s">
        <v>15</v>
      </c>
      <c r="F164" t="s">
        <v>16</v>
      </c>
      <c r="G164">
        <v>4050000</v>
      </c>
      <c r="H164">
        <v>1500000</v>
      </c>
      <c r="I164" t="s">
        <v>26</v>
      </c>
      <c r="J164" s="7">
        <v>46078</v>
      </c>
      <c r="K164">
        <v>9000000</v>
      </c>
      <c r="L164" t="s">
        <v>502</v>
      </c>
    </row>
    <row r="165" spans="1:12" x14ac:dyDescent="0.3">
      <c r="A165" t="s">
        <v>206</v>
      </c>
      <c r="B165" s="7">
        <v>45577</v>
      </c>
      <c r="C165" t="s">
        <v>35</v>
      </c>
      <c r="D165" t="s">
        <v>23</v>
      </c>
      <c r="E165" t="s">
        <v>24</v>
      </c>
      <c r="F165" t="s">
        <v>51</v>
      </c>
      <c r="G165">
        <v>11900000</v>
      </c>
      <c r="H165">
        <v>0</v>
      </c>
      <c r="I165" t="s">
        <v>17</v>
      </c>
      <c r="J165" s="7">
        <v>45969</v>
      </c>
      <c r="K165">
        <v>9000000</v>
      </c>
      <c r="L165" t="s">
        <v>502</v>
      </c>
    </row>
    <row r="166" spans="1:12" x14ac:dyDescent="0.3">
      <c r="A166" t="s">
        <v>207</v>
      </c>
      <c r="B166" s="7">
        <v>45629</v>
      </c>
      <c r="C166" t="s">
        <v>13</v>
      </c>
      <c r="D166" t="s">
        <v>14</v>
      </c>
      <c r="E166" t="s">
        <v>15</v>
      </c>
      <c r="F166" t="s">
        <v>33</v>
      </c>
      <c r="G166">
        <v>8600000</v>
      </c>
      <c r="H166">
        <v>8600000</v>
      </c>
      <c r="I166" t="s">
        <v>20</v>
      </c>
      <c r="J166" s="7">
        <v>46044</v>
      </c>
      <c r="K166">
        <v>8500000</v>
      </c>
      <c r="L166" t="s">
        <v>40</v>
      </c>
    </row>
    <row r="167" spans="1:12" x14ac:dyDescent="0.3">
      <c r="A167" t="s">
        <v>208</v>
      </c>
      <c r="B167" s="7">
        <v>45645</v>
      </c>
      <c r="C167" t="s">
        <v>31</v>
      </c>
      <c r="D167" t="s">
        <v>23</v>
      </c>
      <c r="E167" t="s">
        <v>24</v>
      </c>
      <c r="F167" t="s">
        <v>33</v>
      </c>
      <c r="G167">
        <v>8050000</v>
      </c>
      <c r="H167">
        <v>3000000</v>
      </c>
      <c r="I167" t="s">
        <v>26</v>
      </c>
      <c r="J167" s="7">
        <v>46287</v>
      </c>
      <c r="K167">
        <v>7500000</v>
      </c>
      <c r="L167" t="s">
        <v>38</v>
      </c>
    </row>
    <row r="168" spans="1:12" x14ac:dyDescent="0.3">
      <c r="A168" t="s">
        <v>209</v>
      </c>
      <c r="B168" s="7">
        <v>45423</v>
      </c>
      <c r="C168" t="s">
        <v>22</v>
      </c>
      <c r="D168" t="s">
        <v>14</v>
      </c>
      <c r="E168" t="s">
        <v>15</v>
      </c>
      <c r="F168" t="s">
        <v>16</v>
      </c>
      <c r="G168">
        <v>4900000</v>
      </c>
      <c r="H168">
        <v>0</v>
      </c>
      <c r="I168" t="s">
        <v>17</v>
      </c>
      <c r="J168" s="7">
        <v>46032</v>
      </c>
      <c r="K168">
        <v>8000000</v>
      </c>
      <c r="L168" t="s">
        <v>52</v>
      </c>
    </row>
    <row r="169" spans="1:12" x14ac:dyDescent="0.3">
      <c r="A169" t="s">
        <v>210</v>
      </c>
      <c r="B169" s="7">
        <v>45458</v>
      </c>
      <c r="C169" t="s">
        <v>31</v>
      </c>
      <c r="D169" t="s">
        <v>23</v>
      </c>
      <c r="E169" t="s">
        <v>24</v>
      </c>
      <c r="F169" t="s">
        <v>51</v>
      </c>
      <c r="G169">
        <v>11650000</v>
      </c>
      <c r="H169">
        <v>11650000</v>
      </c>
      <c r="I169" t="s">
        <v>20</v>
      </c>
      <c r="J169" s="7">
        <v>45924</v>
      </c>
      <c r="K169">
        <v>7500000</v>
      </c>
      <c r="L169" t="s">
        <v>18</v>
      </c>
    </row>
    <row r="170" spans="1:12" x14ac:dyDescent="0.3">
      <c r="A170" t="s">
        <v>211</v>
      </c>
      <c r="B170" s="7">
        <v>45417</v>
      </c>
      <c r="C170" t="s">
        <v>35</v>
      </c>
      <c r="D170" t="s">
        <v>23</v>
      </c>
      <c r="E170" t="s">
        <v>24</v>
      </c>
      <c r="F170" t="s">
        <v>51</v>
      </c>
      <c r="G170">
        <v>12050000</v>
      </c>
      <c r="H170">
        <v>4750000</v>
      </c>
      <c r="I170" t="s">
        <v>26</v>
      </c>
      <c r="J170" s="7">
        <v>46266</v>
      </c>
      <c r="K170">
        <v>9000000</v>
      </c>
      <c r="L170" t="s">
        <v>502</v>
      </c>
    </row>
    <row r="171" spans="1:12" x14ac:dyDescent="0.3">
      <c r="A171" t="s">
        <v>212</v>
      </c>
      <c r="B171" s="7">
        <v>45615</v>
      </c>
      <c r="C171" t="s">
        <v>35</v>
      </c>
      <c r="D171" t="s">
        <v>44</v>
      </c>
      <c r="E171" t="s">
        <v>45</v>
      </c>
      <c r="F171" t="s">
        <v>25</v>
      </c>
      <c r="G171">
        <v>2950000</v>
      </c>
      <c r="H171">
        <v>2950000</v>
      </c>
      <c r="I171" t="s">
        <v>20</v>
      </c>
      <c r="J171" s="7">
        <v>46443</v>
      </c>
      <c r="K171">
        <v>9000000</v>
      </c>
      <c r="L171" t="s">
        <v>38</v>
      </c>
    </row>
    <row r="172" spans="1:12" x14ac:dyDescent="0.3">
      <c r="A172" t="s">
        <v>213</v>
      </c>
      <c r="B172" s="7">
        <v>45463</v>
      </c>
      <c r="C172" t="s">
        <v>13</v>
      </c>
      <c r="D172" t="s">
        <v>44</v>
      </c>
      <c r="E172" t="s">
        <v>45</v>
      </c>
      <c r="F172" t="s">
        <v>33</v>
      </c>
      <c r="G172">
        <v>7050000</v>
      </c>
      <c r="H172">
        <v>7050000</v>
      </c>
      <c r="I172" t="s">
        <v>20</v>
      </c>
      <c r="J172" s="7">
        <v>45971</v>
      </c>
      <c r="K172">
        <v>8500000</v>
      </c>
      <c r="L172" t="s">
        <v>29</v>
      </c>
    </row>
    <row r="173" spans="1:12" x14ac:dyDescent="0.3">
      <c r="A173" t="s">
        <v>214</v>
      </c>
      <c r="B173" s="7">
        <v>45477</v>
      </c>
      <c r="C173" t="s">
        <v>28</v>
      </c>
      <c r="D173" t="s">
        <v>44</v>
      </c>
      <c r="E173" t="s">
        <v>45</v>
      </c>
      <c r="F173" t="s">
        <v>16</v>
      </c>
      <c r="G173">
        <v>5600000</v>
      </c>
      <c r="H173">
        <v>5600000</v>
      </c>
      <c r="I173" t="s">
        <v>20</v>
      </c>
      <c r="J173" s="7">
        <v>45865</v>
      </c>
      <c r="K173">
        <v>7000000</v>
      </c>
      <c r="L173" t="s">
        <v>18</v>
      </c>
    </row>
    <row r="174" spans="1:12" x14ac:dyDescent="0.3">
      <c r="A174" t="s">
        <v>215</v>
      </c>
      <c r="B174" s="7">
        <v>45398</v>
      </c>
      <c r="C174" t="s">
        <v>28</v>
      </c>
      <c r="D174" t="s">
        <v>23</v>
      </c>
      <c r="E174" t="s">
        <v>24</v>
      </c>
      <c r="F174" t="s">
        <v>33</v>
      </c>
      <c r="G174">
        <v>8100000</v>
      </c>
      <c r="H174">
        <v>8100000</v>
      </c>
      <c r="I174" t="s">
        <v>20</v>
      </c>
      <c r="J174" s="7">
        <v>45755</v>
      </c>
      <c r="K174">
        <v>7000000</v>
      </c>
      <c r="L174" t="s">
        <v>502</v>
      </c>
    </row>
    <row r="175" spans="1:12" x14ac:dyDescent="0.3">
      <c r="A175" t="s">
        <v>216</v>
      </c>
      <c r="B175" s="7">
        <v>45372</v>
      </c>
      <c r="C175" t="s">
        <v>22</v>
      </c>
      <c r="D175" t="s">
        <v>14</v>
      </c>
      <c r="E175" t="s">
        <v>15</v>
      </c>
      <c r="F175" t="s">
        <v>16</v>
      </c>
      <c r="G175">
        <v>4850000</v>
      </c>
      <c r="H175">
        <v>0</v>
      </c>
      <c r="I175" t="s">
        <v>17</v>
      </c>
      <c r="J175" s="7">
        <v>46119</v>
      </c>
      <c r="K175">
        <v>8000000</v>
      </c>
      <c r="L175" t="s">
        <v>502</v>
      </c>
    </row>
    <row r="176" spans="1:12" x14ac:dyDescent="0.3">
      <c r="A176" t="s">
        <v>217</v>
      </c>
      <c r="B176" s="7">
        <v>45610</v>
      </c>
      <c r="C176" t="s">
        <v>28</v>
      </c>
      <c r="D176" t="s">
        <v>14</v>
      </c>
      <c r="E176" t="s">
        <v>15</v>
      </c>
      <c r="F176" t="s">
        <v>33</v>
      </c>
      <c r="G176">
        <v>7400000</v>
      </c>
      <c r="H176">
        <v>1350000</v>
      </c>
      <c r="I176" t="s">
        <v>26</v>
      </c>
      <c r="J176" s="7">
        <v>46147</v>
      </c>
      <c r="K176">
        <v>7000000</v>
      </c>
      <c r="L176" t="s">
        <v>38</v>
      </c>
    </row>
    <row r="177" spans="1:12" x14ac:dyDescent="0.3">
      <c r="A177" t="s">
        <v>218</v>
      </c>
      <c r="B177" s="7">
        <v>45371</v>
      </c>
      <c r="C177" t="s">
        <v>35</v>
      </c>
      <c r="D177" t="s">
        <v>14</v>
      </c>
      <c r="E177" t="s">
        <v>15</v>
      </c>
      <c r="F177" t="s">
        <v>33</v>
      </c>
      <c r="G177">
        <v>7950000</v>
      </c>
      <c r="H177">
        <v>7950000</v>
      </c>
      <c r="I177" t="s">
        <v>20</v>
      </c>
      <c r="J177" s="7">
        <v>46254</v>
      </c>
      <c r="K177">
        <v>9000000</v>
      </c>
      <c r="L177" t="s">
        <v>18</v>
      </c>
    </row>
    <row r="178" spans="1:12" x14ac:dyDescent="0.3">
      <c r="A178" t="s">
        <v>219</v>
      </c>
      <c r="B178" s="7">
        <v>45375</v>
      </c>
      <c r="C178" t="s">
        <v>13</v>
      </c>
      <c r="D178" t="s">
        <v>14</v>
      </c>
      <c r="E178" t="s">
        <v>15</v>
      </c>
      <c r="F178" t="s">
        <v>16</v>
      </c>
      <c r="G178">
        <v>4050000</v>
      </c>
      <c r="H178">
        <v>4050000</v>
      </c>
      <c r="I178" t="s">
        <v>20</v>
      </c>
      <c r="J178" s="7">
        <v>45822</v>
      </c>
      <c r="K178">
        <v>8500000</v>
      </c>
      <c r="L178" t="s">
        <v>38</v>
      </c>
    </row>
    <row r="179" spans="1:12" x14ac:dyDescent="0.3">
      <c r="A179" t="s">
        <v>220</v>
      </c>
      <c r="B179" s="7">
        <v>45593</v>
      </c>
      <c r="C179" t="s">
        <v>31</v>
      </c>
      <c r="D179" t="s">
        <v>23</v>
      </c>
      <c r="E179" t="s">
        <v>24</v>
      </c>
      <c r="F179" t="s">
        <v>51</v>
      </c>
      <c r="G179">
        <v>13900000</v>
      </c>
      <c r="H179">
        <v>5400000</v>
      </c>
      <c r="I179" t="s">
        <v>26</v>
      </c>
      <c r="J179" s="7">
        <v>46476</v>
      </c>
      <c r="K179">
        <v>7500000</v>
      </c>
      <c r="L179" t="s">
        <v>502</v>
      </c>
    </row>
    <row r="180" spans="1:12" x14ac:dyDescent="0.3">
      <c r="A180" t="s">
        <v>221</v>
      </c>
      <c r="B180" s="7">
        <v>45526</v>
      </c>
      <c r="C180" t="s">
        <v>31</v>
      </c>
      <c r="D180" t="s">
        <v>23</v>
      </c>
      <c r="E180" t="s">
        <v>24</v>
      </c>
      <c r="F180" t="s">
        <v>25</v>
      </c>
      <c r="G180">
        <v>2550000</v>
      </c>
      <c r="H180">
        <v>2550000</v>
      </c>
      <c r="I180" t="s">
        <v>20</v>
      </c>
      <c r="J180" s="7">
        <v>46212</v>
      </c>
      <c r="K180">
        <v>7500000</v>
      </c>
      <c r="L180" t="s">
        <v>502</v>
      </c>
    </row>
    <row r="181" spans="1:12" x14ac:dyDescent="0.3">
      <c r="A181" t="s">
        <v>222</v>
      </c>
      <c r="B181" s="7">
        <v>45654</v>
      </c>
      <c r="C181" t="s">
        <v>35</v>
      </c>
      <c r="D181" t="s">
        <v>23</v>
      </c>
      <c r="E181" t="s">
        <v>24</v>
      </c>
      <c r="F181" t="s">
        <v>16</v>
      </c>
      <c r="G181">
        <v>4500000</v>
      </c>
      <c r="H181">
        <v>0</v>
      </c>
      <c r="I181" t="s">
        <v>17</v>
      </c>
      <c r="J181" s="7">
        <v>45903</v>
      </c>
      <c r="K181">
        <v>9000000</v>
      </c>
      <c r="L181" t="s">
        <v>40</v>
      </c>
    </row>
    <row r="182" spans="1:12" x14ac:dyDescent="0.3">
      <c r="A182" t="s">
        <v>223</v>
      </c>
      <c r="B182" s="7">
        <v>45516</v>
      </c>
      <c r="C182" t="s">
        <v>22</v>
      </c>
      <c r="D182" t="s">
        <v>23</v>
      </c>
      <c r="E182" t="s">
        <v>24</v>
      </c>
      <c r="F182" t="s">
        <v>33</v>
      </c>
      <c r="G182">
        <v>8200000</v>
      </c>
      <c r="H182">
        <v>8200000</v>
      </c>
      <c r="I182" t="s">
        <v>20</v>
      </c>
      <c r="J182" s="7">
        <v>46208</v>
      </c>
      <c r="K182">
        <v>8000000</v>
      </c>
      <c r="L182" t="s">
        <v>502</v>
      </c>
    </row>
    <row r="183" spans="1:12" x14ac:dyDescent="0.3">
      <c r="A183" t="s">
        <v>224</v>
      </c>
      <c r="B183" s="7">
        <v>45601</v>
      </c>
      <c r="C183" t="s">
        <v>28</v>
      </c>
      <c r="D183" t="s">
        <v>23</v>
      </c>
      <c r="E183" t="s">
        <v>24</v>
      </c>
      <c r="F183" t="s">
        <v>51</v>
      </c>
      <c r="G183">
        <v>12250000</v>
      </c>
      <c r="H183">
        <v>12250000</v>
      </c>
      <c r="I183" t="s">
        <v>20</v>
      </c>
      <c r="J183" s="7">
        <v>46430</v>
      </c>
      <c r="K183">
        <v>7000000</v>
      </c>
      <c r="L183" t="s">
        <v>18</v>
      </c>
    </row>
    <row r="184" spans="1:12" x14ac:dyDescent="0.3">
      <c r="A184" t="s">
        <v>225</v>
      </c>
      <c r="B184" s="7">
        <v>45586</v>
      </c>
      <c r="C184" t="s">
        <v>31</v>
      </c>
      <c r="D184" t="s">
        <v>23</v>
      </c>
      <c r="E184" t="s">
        <v>24</v>
      </c>
      <c r="F184" t="s">
        <v>16</v>
      </c>
      <c r="G184">
        <v>4000000</v>
      </c>
      <c r="H184">
        <v>800000</v>
      </c>
      <c r="I184" t="s">
        <v>26</v>
      </c>
      <c r="J184" s="7">
        <v>46350</v>
      </c>
      <c r="K184">
        <v>7500000</v>
      </c>
      <c r="L184" t="s">
        <v>502</v>
      </c>
    </row>
    <row r="185" spans="1:12" x14ac:dyDescent="0.3">
      <c r="A185" t="s">
        <v>226</v>
      </c>
      <c r="B185" s="7">
        <v>45538</v>
      </c>
      <c r="C185" t="s">
        <v>35</v>
      </c>
      <c r="D185" t="s">
        <v>23</v>
      </c>
      <c r="E185" t="s">
        <v>24</v>
      </c>
      <c r="F185" t="s">
        <v>51</v>
      </c>
      <c r="G185">
        <v>10450000</v>
      </c>
      <c r="H185">
        <v>4050000</v>
      </c>
      <c r="I185" t="s">
        <v>26</v>
      </c>
      <c r="J185" s="7">
        <v>45862</v>
      </c>
      <c r="K185">
        <v>9000000</v>
      </c>
      <c r="L185" t="s">
        <v>29</v>
      </c>
    </row>
    <row r="186" spans="1:12" x14ac:dyDescent="0.3">
      <c r="A186" t="s">
        <v>227</v>
      </c>
      <c r="B186" s="7">
        <v>45597</v>
      </c>
      <c r="C186" t="s">
        <v>13</v>
      </c>
      <c r="D186" t="s">
        <v>23</v>
      </c>
      <c r="E186" t="s">
        <v>24</v>
      </c>
      <c r="F186" t="s">
        <v>16</v>
      </c>
      <c r="G186">
        <v>5250000</v>
      </c>
      <c r="H186">
        <v>700000</v>
      </c>
      <c r="I186" t="s">
        <v>26</v>
      </c>
      <c r="J186" s="7">
        <v>46367</v>
      </c>
      <c r="K186">
        <v>8500000</v>
      </c>
      <c r="L186" t="s">
        <v>29</v>
      </c>
    </row>
    <row r="187" spans="1:12" x14ac:dyDescent="0.3">
      <c r="A187" t="s">
        <v>228</v>
      </c>
      <c r="B187" s="7">
        <v>45386</v>
      </c>
      <c r="C187" t="s">
        <v>28</v>
      </c>
      <c r="D187" t="s">
        <v>14</v>
      </c>
      <c r="E187" t="s">
        <v>15</v>
      </c>
      <c r="F187" t="s">
        <v>33</v>
      </c>
      <c r="G187">
        <v>6650000</v>
      </c>
      <c r="H187">
        <v>6650000</v>
      </c>
      <c r="I187" t="s">
        <v>20</v>
      </c>
      <c r="J187" s="7">
        <v>46250</v>
      </c>
      <c r="K187">
        <v>7000000</v>
      </c>
      <c r="L187" t="s">
        <v>42</v>
      </c>
    </row>
    <row r="188" spans="1:12" x14ac:dyDescent="0.3">
      <c r="A188" t="s">
        <v>229</v>
      </c>
      <c r="B188" s="7">
        <v>45449</v>
      </c>
      <c r="C188" t="s">
        <v>31</v>
      </c>
      <c r="D188" t="s">
        <v>14</v>
      </c>
      <c r="E188" t="s">
        <v>15</v>
      </c>
      <c r="F188" t="s">
        <v>25</v>
      </c>
      <c r="G188">
        <v>3250000</v>
      </c>
      <c r="H188">
        <v>1100000</v>
      </c>
      <c r="I188" t="s">
        <v>26</v>
      </c>
      <c r="J188" s="7">
        <v>46174</v>
      </c>
      <c r="K188">
        <v>7500000</v>
      </c>
      <c r="L188" t="s">
        <v>52</v>
      </c>
    </row>
    <row r="189" spans="1:12" x14ac:dyDescent="0.3">
      <c r="A189" t="s">
        <v>230</v>
      </c>
      <c r="B189" s="7">
        <v>45468</v>
      </c>
      <c r="C189" t="s">
        <v>13</v>
      </c>
      <c r="D189" t="s">
        <v>23</v>
      </c>
      <c r="E189" t="s">
        <v>24</v>
      </c>
      <c r="F189" t="s">
        <v>33</v>
      </c>
      <c r="G189">
        <v>7800000</v>
      </c>
      <c r="H189">
        <v>7800000</v>
      </c>
      <c r="I189" t="s">
        <v>20</v>
      </c>
      <c r="J189" s="7">
        <v>45873</v>
      </c>
      <c r="K189">
        <v>8500000</v>
      </c>
      <c r="L189" t="s">
        <v>502</v>
      </c>
    </row>
    <row r="190" spans="1:12" x14ac:dyDescent="0.3">
      <c r="A190" t="s">
        <v>231</v>
      </c>
      <c r="B190" s="7">
        <v>45483</v>
      </c>
      <c r="C190" t="s">
        <v>31</v>
      </c>
      <c r="D190" t="s">
        <v>23</v>
      </c>
      <c r="E190" t="s">
        <v>24</v>
      </c>
      <c r="F190" t="s">
        <v>25</v>
      </c>
      <c r="G190">
        <v>2600000</v>
      </c>
      <c r="H190">
        <v>2600000</v>
      </c>
      <c r="I190" t="s">
        <v>20</v>
      </c>
      <c r="J190" s="7">
        <v>45758</v>
      </c>
      <c r="K190">
        <v>7500000</v>
      </c>
      <c r="L190" t="s">
        <v>502</v>
      </c>
    </row>
    <row r="191" spans="1:12" x14ac:dyDescent="0.3">
      <c r="A191" t="s">
        <v>232</v>
      </c>
      <c r="B191" s="7">
        <v>45546</v>
      </c>
      <c r="C191" t="s">
        <v>31</v>
      </c>
      <c r="D191" t="s">
        <v>14</v>
      </c>
      <c r="E191" t="s">
        <v>15</v>
      </c>
      <c r="F191" t="s">
        <v>16</v>
      </c>
      <c r="G191">
        <v>4750000</v>
      </c>
      <c r="H191">
        <v>4750000</v>
      </c>
      <c r="I191" t="s">
        <v>20</v>
      </c>
      <c r="J191" s="7">
        <v>45897</v>
      </c>
      <c r="K191">
        <v>7500000</v>
      </c>
      <c r="L191" t="s">
        <v>38</v>
      </c>
    </row>
    <row r="192" spans="1:12" x14ac:dyDescent="0.3">
      <c r="A192" t="s">
        <v>233</v>
      </c>
      <c r="B192" s="7">
        <v>45585</v>
      </c>
      <c r="C192" t="s">
        <v>13</v>
      </c>
      <c r="D192" t="s">
        <v>23</v>
      </c>
      <c r="E192" t="s">
        <v>24</v>
      </c>
      <c r="F192" t="s">
        <v>16</v>
      </c>
      <c r="G192">
        <v>4250000</v>
      </c>
      <c r="H192">
        <v>450000</v>
      </c>
      <c r="I192" t="s">
        <v>26</v>
      </c>
      <c r="J192" s="7">
        <v>46097</v>
      </c>
      <c r="K192">
        <v>8500000</v>
      </c>
      <c r="L192" t="s">
        <v>52</v>
      </c>
    </row>
    <row r="193" spans="1:12" x14ac:dyDescent="0.3">
      <c r="A193" t="s">
        <v>234</v>
      </c>
      <c r="B193" s="7">
        <v>45626</v>
      </c>
      <c r="C193" t="s">
        <v>35</v>
      </c>
      <c r="D193" t="s">
        <v>14</v>
      </c>
      <c r="E193" t="s">
        <v>15</v>
      </c>
      <c r="F193" t="s">
        <v>33</v>
      </c>
      <c r="G193">
        <v>7000000</v>
      </c>
      <c r="H193">
        <v>1350000</v>
      </c>
      <c r="I193" t="s">
        <v>26</v>
      </c>
      <c r="J193" s="7">
        <v>46221</v>
      </c>
      <c r="K193">
        <v>9000000</v>
      </c>
      <c r="L193" t="s">
        <v>502</v>
      </c>
    </row>
    <row r="194" spans="1:12" x14ac:dyDescent="0.3">
      <c r="A194" t="s">
        <v>235</v>
      </c>
      <c r="B194" s="7">
        <v>45432</v>
      </c>
      <c r="C194" t="s">
        <v>31</v>
      </c>
      <c r="D194" t="s">
        <v>14</v>
      </c>
      <c r="E194" t="s">
        <v>15</v>
      </c>
      <c r="F194" t="s">
        <v>33</v>
      </c>
      <c r="G194">
        <v>7200000</v>
      </c>
      <c r="H194">
        <v>2750000</v>
      </c>
      <c r="I194" t="s">
        <v>26</v>
      </c>
      <c r="J194" s="7">
        <v>45769</v>
      </c>
      <c r="K194">
        <v>7500000</v>
      </c>
      <c r="L194" t="s">
        <v>52</v>
      </c>
    </row>
    <row r="195" spans="1:12" x14ac:dyDescent="0.3">
      <c r="A195" t="s">
        <v>236</v>
      </c>
      <c r="B195" s="7">
        <v>45371</v>
      </c>
      <c r="C195" t="s">
        <v>31</v>
      </c>
      <c r="D195" t="s">
        <v>14</v>
      </c>
      <c r="E195" t="s">
        <v>15</v>
      </c>
      <c r="F195" t="s">
        <v>33</v>
      </c>
      <c r="G195">
        <v>8750000</v>
      </c>
      <c r="H195">
        <v>8750000</v>
      </c>
      <c r="I195" t="s">
        <v>20</v>
      </c>
      <c r="J195" s="7">
        <v>45872</v>
      </c>
      <c r="K195">
        <v>7500000</v>
      </c>
      <c r="L195" t="s">
        <v>42</v>
      </c>
    </row>
    <row r="196" spans="1:12" x14ac:dyDescent="0.3">
      <c r="A196" t="s">
        <v>237</v>
      </c>
      <c r="B196" s="7">
        <v>45519</v>
      </c>
      <c r="C196" t="s">
        <v>31</v>
      </c>
      <c r="D196" t="s">
        <v>14</v>
      </c>
      <c r="E196" t="s">
        <v>15</v>
      </c>
      <c r="F196" t="s">
        <v>25</v>
      </c>
      <c r="G196">
        <v>2850000</v>
      </c>
      <c r="H196">
        <v>2850000</v>
      </c>
      <c r="I196" t="s">
        <v>20</v>
      </c>
      <c r="J196" s="7">
        <v>45999</v>
      </c>
      <c r="K196">
        <v>7500000</v>
      </c>
      <c r="L196" t="s">
        <v>40</v>
      </c>
    </row>
    <row r="197" spans="1:12" x14ac:dyDescent="0.3">
      <c r="A197" t="s">
        <v>238</v>
      </c>
      <c r="B197" s="7">
        <v>45315</v>
      </c>
      <c r="C197" t="s">
        <v>28</v>
      </c>
      <c r="D197" t="s">
        <v>14</v>
      </c>
      <c r="E197" t="s">
        <v>15</v>
      </c>
      <c r="F197" t="s">
        <v>51</v>
      </c>
      <c r="G197">
        <v>13000000</v>
      </c>
      <c r="H197">
        <v>3800000</v>
      </c>
      <c r="I197" t="s">
        <v>26</v>
      </c>
      <c r="J197" s="7">
        <v>46004</v>
      </c>
      <c r="K197">
        <v>7000000</v>
      </c>
      <c r="L197" t="s">
        <v>502</v>
      </c>
    </row>
    <row r="198" spans="1:12" x14ac:dyDescent="0.3">
      <c r="A198" t="s">
        <v>239</v>
      </c>
      <c r="B198" s="7">
        <v>45537</v>
      </c>
      <c r="C198" t="s">
        <v>31</v>
      </c>
      <c r="D198" t="s">
        <v>23</v>
      </c>
      <c r="E198" t="s">
        <v>24</v>
      </c>
      <c r="F198" t="s">
        <v>33</v>
      </c>
      <c r="G198">
        <v>7650000</v>
      </c>
      <c r="H198">
        <v>7650000</v>
      </c>
      <c r="I198" t="s">
        <v>20</v>
      </c>
      <c r="J198" s="7">
        <v>45828</v>
      </c>
      <c r="K198">
        <v>7500000</v>
      </c>
      <c r="L198" t="s">
        <v>29</v>
      </c>
    </row>
    <row r="199" spans="1:12" x14ac:dyDescent="0.3">
      <c r="A199" t="s">
        <v>240</v>
      </c>
      <c r="B199" s="7">
        <v>45354</v>
      </c>
      <c r="C199" t="s">
        <v>35</v>
      </c>
      <c r="D199" t="s">
        <v>14</v>
      </c>
      <c r="E199" t="s">
        <v>15</v>
      </c>
      <c r="F199" t="s">
        <v>25</v>
      </c>
      <c r="G199">
        <v>2550000</v>
      </c>
      <c r="H199">
        <v>2550000</v>
      </c>
      <c r="I199" t="s">
        <v>20</v>
      </c>
      <c r="J199" s="7">
        <v>45927</v>
      </c>
      <c r="K199">
        <v>9000000</v>
      </c>
      <c r="L199" t="s">
        <v>502</v>
      </c>
    </row>
    <row r="200" spans="1:12" x14ac:dyDescent="0.3">
      <c r="A200" t="s">
        <v>241</v>
      </c>
      <c r="B200" s="7">
        <v>45328</v>
      </c>
      <c r="C200" t="s">
        <v>31</v>
      </c>
      <c r="D200" t="s">
        <v>44</v>
      </c>
      <c r="E200" t="s">
        <v>45</v>
      </c>
      <c r="F200" t="s">
        <v>33</v>
      </c>
      <c r="G200">
        <v>7350000</v>
      </c>
      <c r="H200">
        <v>1000000</v>
      </c>
      <c r="I200" t="s">
        <v>26</v>
      </c>
      <c r="J200" s="7">
        <v>45738</v>
      </c>
      <c r="K200">
        <v>7500000</v>
      </c>
      <c r="L200" t="s">
        <v>52</v>
      </c>
    </row>
    <row r="201" spans="1:12" x14ac:dyDescent="0.3">
      <c r="A201" t="s">
        <v>242</v>
      </c>
      <c r="B201" s="7">
        <v>45563</v>
      </c>
      <c r="C201" t="s">
        <v>35</v>
      </c>
      <c r="D201" t="s">
        <v>23</v>
      </c>
      <c r="E201" t="s">
        <v>24</v>
      </c>
      <c r="F201" t="s">
        <v>16</v>
      </c>
      <c r="G201">
        <v>5450000</v>
      </c>
      <c r="H201">
        <v>1000000</v>
      </c>
      <c r="I201" t="s">
        <v>26</v>
      </c>
      <c r="J201" s="7">
        <v>46000</v>
      </c>
      <c r="K201">
        <v>9000000</v>
      </c>
      <c r="L201" t="s">
        <v>29</v>
      </c>
    </row>
    <row r="202" spans="1:12" x14ac:dyDescent="0.3">
      <c r="A202" t="s">
        <v>243</v>
      </c>
      <c r="B202" s="7">
        <v>45545</v>
      </c>
      <c r="C202" t="s">
        <v>31</v>
      </c>
      <c r="D202" t="s">
        <v>23</v>
      </c>
      <c r="E202" t="s">
        <v>24</v>
      </c>
      <c r="F202" t="s">
        <v>25</v>
      </c>
      <c r="G202">
        <v>2500000</v>
      </c>
      <c r="H202">
        <v>2500000</v>
      </c>
      <c r="I202" t="s">
        <v>20</v>
      </c>
      <c r="J202" s="7">
        <v>46306</v>
      </c>
      <c r="K202">
        <v>7500000</v>
      </c>
      <c r="L202" t="s">
        <v>38</v>
      </c>
    </row>
    <row r="203" spans="1:12" x14ac:dyDescent="0.3">
      <c r="A203" t="s">
        <v>244</v>
      </c>
      <c r="B203" s="7">
        <v>45539</v>
      </c>
      <c r="C203" t="s">
        <v>13</v>
      </c>
      <c r="D203" t="s">
        <v>23</v>
      </c>
      <c r="E203" t="s">
        <v>24</v>
      </c>
      <c r="F203" t="s">
        <v>16</v>
      </c>
      <c r="G203">
        <v>5800000</v>
      </c>
      <c r="H203">
        <v>5800000</v>
      </c>
      <c r="I203" t="s">
        <v>20</v>
      </c>
      <c r="J203" s="7">
        <v>45807</v>
      </c>
      <c r="K203">
        <v>8500000</v>
      </c>
      <c r="L203" t="s">
        <v>18</v>
      </c>
    </row>
    <row r="204" spans="1:12" x14ac:dyDescent="0.3">
      <c r="A204" t="s">
        <v>245</v>
      </c>
      <c r="B204" s="7">
        <v>45467</v>
      </c>
      <c r="C204" t="s">
        <v>22</v>
      </c>
      <c r="D204" t="s">
        <v>14</v>
      </c>
      <c r="E204" t="s">
        <v>15</v>
      </c>
      <c r="F204" t="s">
        <v>33</v>
      </c>
      <c r="G204">
        <v>7500000</v>
      </c>
      <c r="H204">
        <v>1150000</v>
      </c>
      <c r="I204" t="s">
        <v>26</v>
      </c>
      <c r="J204" s="7">
        <v>45810</v>
      </c>
      <c r="K204">
        <v>8000000</v>
      </c>
      <c r="L204" t="s">
        <v>40</v>
      </c>
    </row>
    <row r="205" spans="1:12" x14ac:dyDescent="0.3">
      <c r="A205" t="s">
        <v>246</v>
      </c>
      <c r="B205" s="7">
        <v>45462</v>
      </c>
      <c r="C205" t="s">
        <v>31</v>
      </c>
      <c r="D205" t="s">
        <v>23</v>
      </c>
      <c r="E205" t="s">
        <v>24</v>
      </c>
      <c r="F205" t="s">
        <v>16</v>
      </c>
      <c r="G205">
        <v>5550000</v>
      </c>
      <c r="H205">
        <v>1450000</v>
      </c>
      <c r="I205" t="s">
        <v>26</v>
      </c>
      <c r="J205" s="7">
        <v>46079</v>
      </c>
      <c r="K205">
        <v>7500000</v>
      </c>
      <c r="L205" t="s">
        <v>502</v>
      </c>
    </row>
    <row r="206" spans="1:12" x14ac:dyDescent="0.3">
      <c r="A206" t="s">
        <v>247</v>
      </c>
      <c r="B206" s="7">
        <v>45445</v>
      </c>
      <c r="C206" t="s">
        <v>22</v>
      </c>
      <c r="D206" t="s">
        <v>44</v>
      </c>
      <c r="E206" t="s">
        <v>45</v>
      </c>
      <c r="F206" t="s">
        <v>51</v>
      </c>
      <c r="G206">
        <v>9750000</v>
      </c>
      <c r="H206">
        <v>9750000</v>
      </c>
      <c r="I206" t="s">
        <v>20</v>
      </c>
      <c r="J206" s="7">
        <v>46040</v>
      </c>
      <c r="K206">
        <v>8000000</v>
      </c>
      <c r="L206" t="s">
        <v>502</v>
      </c>
    </row>
    <row r="207" spans="1:12" x14ac:dyDescent="0.3">
      <c r="A207" t="s">
        <v>248</v>
      </c>
      <c r="B207" s="7">
        <v>45597</v>
      </c>
      <c r="C207" t="s">
        <v>13</v>
      </c>
      <c r="D207" t="s">
        <v>14</v>
      </c>
      <c r="E207" t="s">
        <v>15</v>
      </c>
      <c r="F207" t="s">
        <v>33</v>
      </c>
      <c r="G207">
        <v>6700000</v>
      </c>
      <c r="H207">
        <v>1650000</v>
      </c>
      <c r="I207" t="s">
        <v>26</v>
      </c>
      <c r="J207" s="7">
        <v>46313</v>
      </c>
      <c r="K207">
        <v>8500000</v>
      </c>
      <c r="L207" t="s">
        <v>502</v>
      </c>
    </row>
    <row r="208" spans="1:12" x14ac:dyDescent="0.3">
      <c r="A208" t="s">
        <v>249</v>
      </c>
      <c r="B208" s="7">
        <v>45295</v>
      </c>
      <c r="C208" t="s">
        <v>22</v>
      </c>
      <c r="D208" t="s">
        <v>14</v>
      </c>
      <c r="E208" t="s">
        <v>15</v>
      </c>
      <c r="F208" t="s">
        <v>16</v>
      </c>
      <c r="G208">
        <v>4150000</v>
      </c>
      <c r="H208">
        <v>4150000</v>
      </c>
      <c r="I208" t="s">
        <v>20</v>
      </c>
      <c r="J208" s="7">
        <v>45813</v>
      </c>
      <c r="K208">
        <v>8000000</v>
      </c>
      <c r="L208" t="s">
        <v>38</v>
      </c>
    </row>
    <row r="209" spans="1:12" x14ac:dyDescent="0.3">
      <c r="A209" t="s">
        <v>250</v>
      </c>
      <c r="B209" s="7">
        <v>45425</v>
      </c>
      <c r="C209" t="s">
        <v>13</v>
      </c>
      <c r="D209" t="s">
        <v>23</v>
      </c>
      <c r="E209" t="s">
        <v>24</v>
      </c>
      <c r="F209" t="s">
        <v>16</v>
      </c>
      <c r="G209">
        <v>4650000</v>
      </c>
      <c r="H209">
        <v>1450000</v>
      </c>
      <c r="I209" t="s">
        <v>26</v>
      </c>
      <c r="J209" s="7">
        <v>45616</v>
      </c>
      <c r="K209">
        <v>8500000</v>
      </c>
      <c r="L209" t="s">
        <v>18</v>
      </c>
    </row>
    <row r="210" spans="1:12" x14ac:dyDescent="0.3">
      <c r="A210" t="s">
        <v>251</v>
      </c>
      <c r="B210" s="7">
        <v>45353</v>
      </c>
      <c r="C210" t="s">
        <v>31</v>
      </c>
      <c r="D210" t="s">
        <v>14</v>
      </c>
      <c r="E210" t="s">
        <v>15</v>
      </c>
      <c r="F210" t="s">
        <v>16</v>
      </c>
      <c r="G210">
        <v>4450000</v>
      </c>
      <c r="H210">
        <v>0</v>
      </c>
      <c r="I210" t="s">
        <v>17</v>
      </c>
      <c r="J210" s="7">
        <v>46028</v>
      </c>
      <c r="K210">
        <v>7500000</v>
      </c>
      <c r="L210" t="s">
        <v>18</v>
      </c>
    </row>
    <row r="211" spans="1:12" x14ac:dyDescent="0.3">
      <c r="A211" t="s">
        <v>252</v>
      </c>
      <c r="B211" s="7">
        <v>45465</v>
      </c>
      <c r="C211" t="s">
        <v>28</v>
      </c>
      <c r="D211" t="s">
        <v>23</v>
      </c>
      <c r="E211" t="s">
        <v>24</v>
      </c>
      <c r="F211" t="s">
        <v>25</v>
      </c>
      <c r="G211">
        <v>2850000</v>
      </c>
      <c r="H211">
        <v>2850000</v>
      </c>
      <c r="I211" t="s">
        <v>20</v>
      </c>
      <c r="J211" s="7">
        <v>46216</v>
      </c>
      <c r="K211">
        <v>7000000</v>
      </c>
      <c r="L211" t="s">
        <v>502</v>
      </c>
    </row>
    <row r="212" spans="1:12" x14ac:dyDescent="0.3">
      <c r="A212" t="s">
        <v>253</v>
      </c>
      <c r="B212" s="7">
        <v>45440</v>
      </c>
      <c r="C212" t="s">
        <v>35</v>
      </c>
      <c r="D212" t="s">
        <v>23</v>
      </c>
      <c r="E212" t="s">
        <v>24</v>
      </c>
      <c r="F212" t="s">
        <v>16</v>
      </c>
      <c r="G212">
        <v>4950000</v>
      </c>
      <c r="H212">
        <v>4950000</v>
      </c>
      <c r="I212" t="s">
        <v>20</v>
      </c>
      <c r="J212" s="7">
        <v>46325</v>
      </c>
      <c r="K212">
        <v>9000000</v>
      </c>
      <c r="L212" t="s">
        <v>42</v>
      </c>
    </row>
    <row r="213" spans="1:12" x14ac:dyDescent="0.3">
      <c r="A213" t="s">
        <v>254</v>
      </c>
      <c r="B213" s="7">
        <v>45302</v>
      </c>
      <c r="C213" t="s">
        <v>13</v>
      </c>
      <c r="D213" t="s">
        <v>14</v>
      </c>
      <c r="E213" t="s">
        <v>15</v>
      </c>
      <c r="F213" t="s">
        <v>33</v>
      </c>
      <c r="G213">
        <v>8100000</v>
      </c>
      <c r="H213">
        <v>8100000</v>
      </c>
      <c r="I213" t="s">
        <v>20</v>
      </c>
      <c r="J213" s="7">
        <v>45741</v>
      </c>
      <c r="K213">
        <v>8500000</v>
      </c>
      <c r="L213" t="s">
        <v>42</v>
      </c>
    </row>
    <row r="214" spans="1:12" x14ac:dyDescent="0.3">
      <c r="A214" t="s">
        <v>255</v>
      </c>
      <c r="B214" s="7">
        <v>45463</v>
      </c>
      <c r="C214" t="s">
        <v>22</v>
      </c>
      <c r="D214" t="s">
        <v>23</v>
      </c>
      <c r="E214" t="s">
        <v>24</v>
      </c>
      <c r="F214" t="s">
        <v>51</v>
      </c>
      <c r="G214">
        <v>12100000</v>
      </c>
      <c r="H214">
        <v>12100000</v>
      </c>
      <c r="I214" t="s">
        <v>20</v>
      </c>
      <c r="J214" s="7">
        <v>45853</v>
      </c>
      <c r="K214">
        <v>8000000</v>
      </c>
      <c r="L214" t="s">
        <v>502</v>
      </c>
    </row>
    <row r="215" spans="1:12" x14ac:dyDescent="0.3">
      <c r="A215" t="s">
        <v>256</v>
      </c>
      <c r="B215" s="7">
        <v>45452</v>
      </c>
      <c r="C215" t="s">
        <v>22</v>
      </c>
      <c r="D215" t="s">
        <v>14</v>
      </c>
      <c r="E215" t="s">
        <v>15</v>
      </c>
      <c r="F215" t="s">
        <v>16</v>
      </c>
      <c r="G215">
        <v>4800000</v>
      </c>
      <c r="H215">
        <v>0</v>
      </c>
      <c r="I215" t="s">
        <v>17</v>
      </c>
      <c r="J215" s="7">
        <v>45776</v>
      </c>
      <c r="K215">
        <v>8000000</v>
      </c>
      <c r="L215" t="s">
        <v>502</v>
      </c>
    </row>
    <row r="216" spans="1:12" x14ac:dyDescent="0.3">
      <c r="A216" t="s">
        <v>257</v>
      </c>
      <c r="B216" s="7">
        <v>45530</v>
      </c>
      <c r="C216" t="s">
        <v>28</v>
      </c>
      <c r="D216" t="s">
        <v>23</v>
      </c>
      <c r="E216" t="s">
        <v>24</v>
      </c>
      <c r="F216" t="s">
        <v>16</v>
      </c>
      <c r="G216">
        <v>4750000</v>
      </c>
      <c r="H216">
        <v>1750000</v>
      </c>
      <c r="I216" t="s">
        <v>26</v>
      </c>
      <c r="J216" s="7">
        <v>46187</v>
      </c>
      <c r="K216">
        <v>7000000</v>
      </c>
      <c r="L216" t="s">
        <v>38</v>
      </c>
    </row>
    <row r="217" spans="1:12" x14ac:dyDescent="0.3">
      <c r="A217" t="s">
        <v>258</v>
      </c>
      <c r="B217" s="7">
        <v>45571</v>
      </c>
      <c r="C217" t="s">
        <v>31</v>
      </c>
      <c r="D217" t="s">
        <v>23</v>
      </c>
      <c r="E217" t="s">
        <v>24</v>
      </c>
      <c r="F217" t="s">
        <v>25</v>
      </c>
      <c r="G217">
        <v>2750000</v>
      </c>
      <c r="H217">
        <v>550000</v>
      </c>
      <c r="I217" t="s">
        <v>26</v>
      </c>
      <c r="J217" s="7">
        <v>46461</v>
      </c>
      <c r="K217">
        <v>7500000</v>
      </c>
      <c r="L217" t="s">
        <v>42</v>
      </c>
    </row>
    <row r="218" spans="1:12" x14ac:dyDescent="0.3">
      <c r="A218" t="s">
        <v>259</v>
      </c>
      <c r="B218" s="7">
        <v>45366</v>
      </c>
      <c r="C218" t="s">
        <v>31</v>
      </c>
      <c r="D218" t="s">
        <v>23</v>
      </c>
      <c r="E218" t="s">
        <v>24</v>
      </c>
      <c r="F218" t="s">
        <v>33</v>
      </c>
      <c r="G218">
        <v>7100000</v>
      </c>
      <c r="H218">
        <v>0</v>
      </c>
      <c r="I218" t="s">
        <v>17</v>
      </c>
      <c r="J218" s="7">
        <v>46026</v>
      </c>
      <c r="K218">
        <v>7500000</v>
      </c>
      <c r="L218" t="s">
        <v>502</v>
      </c>
    </row>
    <row r="219" spans="1:12" x14ac:dyDescent="0.3">
      <c r="A219" t="s">
        <v>260</v>
      </c>
      <c r="B219" s="7">
        <v>45415</v>
      </c>
      <c r="C219" t="s">
        <v>31</v>
      </c>
      <c r="D219" t="s">
        <v>14</v>
      </c>
      <c r="E219" t="s">
        <v>15</v>
      </c>
      <c r="F219" t="s">
        <v>16</v>
      </c>
      <c r="G219">
        <v>5250000</v>
      </c>
      <c r="H219">
        <v>0</v>
      </c>
      <c r="I219" t="s">
        <v>17</v>
      </c>
      <c r="J219" s="7">
        <v>46315</v>
      </c>
      <c r="K219">
        <v>7500000</v>
      </c>
      <c r="L219" t="s">
        <v>42</v>
      </c>
    </row>
    <row r="220" spans="1:12" x14ac:dyDescent="0.3">
      <c r="A220" t="s">
        <v>261</v>
      </c>
      <c r="B220" s="7">
        <v>45604</v>
      </c>
      <c r="C220" t="s">
        <v>13</v>
      </c>
      <c r="D220" t="s">
        <v>14</v>
      </c>
      <c r="E220" t="s">
        <v>15</v>
      </c>
      <c r="F220" t="s">
        <v>16</v>
      </c>
      <c r="G220">
        <v>5900000</v>
      </c>
      <c r="H220">
        <v>850000</v>
      </c>
      <c r="I220" t="s">
        <v>26</v>
      </c>
      <c r="J220" s="7">
        <v>46256</v>
      </c>
      <c r="K220">
        <v>8500000</v>
      </c>
      <c r="L220" t="s">
        <v>18</v>
      </c>
    </row>
    <row r="221" spans="1:12" x14ac:dyDescent="0.3">
      <c r="A221" t="s">
        <v>262</v>
      </c>
      <c r="B221" s="7">
        <v>45416</v>
      </c>
      <c r="C221" t="s">
        <v>13</v>
      </c>
      <c r="D221" t="s">
        <v>14</v>
      </c>
      <c r="E221" t="s">
        <v>15</v>
      </c>
      <c r="F221" t="s">
        <v>25</v>
      </c>
      <c r="G221">
        <v>2600000</v>
      </c>
      <c r="H221">
        <v>0</v>
      </c>
      <c r="I221" t="s">
        <v>17</v>
      </c>
      <c r="J221" s="7">
        <v>46037</v>
      </c>
      <c r="K221">
        <v>8500000</v>
      </c>
      <c r="L221" t="s">
        <v>40</v>
      </c>
    </row>
    <row r="222" spans="1:12" x14ac:dyDescent="0.3">
      <c r="A222" t="s">
        <v>263</v>
      </c>
      <c r="B222" s="7">
        <v>45443</v>
      </c>
      <c r="C222" t="s">
        <v>28</v>
      </c>
      <c r="D222" t="s">
        <v>14</v>
      </c>
      <c r="E222" t="s">
        <v>15</v>
      </c>
      <c r="F222" t="s">
        <v>16</v>
      </c>
      <c r="G222">
        <v>5300000</v>
      </c>
      <c r="H222">
        <v>0</v>
      </c>
      <c r="I222" t="s">
        <v>17</v>
      </c>
      <c r="J222" s="7">
        <v>46038</v>
      </c>
      <c r="K222">
        <v>7000000</v>
      </c>
      <c r="L222" t="s">
        <v>502</v>
      </c>
    </row>
    <row r="223" spans="1:12" x14ac:dyDescent="0.3">
      <c r="A223" t="s">
        <v>264</v>
      </c>
      <c r="B223" s="7">
        <v>45384</v>
      </c>
      <c r="C223" t="s">
        <v>22</v>
      </c>
      <c r="D223" t="s">
        <v>14</v>
      </c>
      <c r="E223" t="s">
        <v>15</v>
      </c>
      <c r="F223" t="s">
        <v>25</v>
      </c>
      <c r="G223">
        <v>3450000</v>
      </c>
      <c r="H223">
        <v>3450000</v>
      </c>
      <c r="I223" t="s">
        <v>20</v>
      </c>
      <c r="J223" s="7">
        <v>45623</v>
      </c>
      <c r="K223">
        <v>8000000</v>
      </c>
      <c r="L223" t="s">
        <v>502</v>
      </c>
    </row>
    <row r="224" spans="1:12" x14ac:dyDescent="0.3">
      <c r="A224" t="s">
        <v>265</v>
      </c>
      <c r="B224" s="7">
        <v>45477</v>
      </c>
      <c r="C224" t="s">
        <v>28</v>
      </c>
      <c r="D224" t="s">
        <v>23</v>
      </c>
      <c r="E224" t="s">
        <v>24</v>
      </c>
      <c r="F224" t="s">
        <v>33</v>
      </c>
      <c r="G224">
        <v>7450000</v>
      </c>
      <c r="H224">
        <v>850000</v>
      </c>
      <c r="I224" t="s">
        <v>26</v>
      </c>
      <c r="J224" s="7">
        <v>46331</v>
      </c>
      <c r="K224">
        <v>7000000</v>
      </c>
      <c r="L224" t="s">
        <v>502</v>
      </c>
    </row>
    <row r="225" spans="1:12" x14ac:dyDescent="0.3">
      <c r="A225" t="s">
        <v>266</v>
      </c>
      <c r="B225" s="7">
        <v>45613</v>
      </c>
      <c r="C225" t="s">
        <v>35</v>
      </c>
      <c r="D225" t="s">
        <v>14</v>
      </c>
      <c r="E225" t="s">
        <v>15</v>
      </c>
      <c r="F225" t="s">
        <v>16</v>
      </c>
      <c r="G225">
        <v>4950000</v>
      </c>
      <c r="H225">
        <v>0</v>
      </c>
      <c r="I225" t="s">
        <v>17</v>
      </c>
      <c r="J225" s="7">
        <v>46103</v>
      </c>
      <c r="K225">
        <v>9000000</v>
      </c>
      <c r="L225" t="s">
        <v>18</v>
      </c>
    </row>
    <row r="226" spans="1:12" x14ac:dyDescent="0.3">
      <c r="A226" t="s">
        <v>267</v>
      </c>
      <c r="B226" s="7">
        <v>45522</v>
      </c>
      <c r="C226" t="s">
        <v>13</v>
      </c>
      <c r="D226" t="s">
        <v>23</v>
      </c>
      <c r="E226" t="s">
        <v>24</v>
      </c>
      <c r="F226" t="s">
        <v>16</v>
      </c>
      <c r="G226">
        <v>5850000</v>
      </c>
      <c r="H226">
        <v>1700000</v>
      </c>
      <c r="I226" t="s">
        <v>26</v>
      </c>
      <c r="J226" s="7">
        <v>45888</v>
      </c>
      <c r="K226">
        <v>8500000</v>
      </c>
      <c r="L226" t="s">
        <v>52</v>
      </c>
    </row>
    <row r="227" spans="1:12" x14ac:dyDescent="0.3">
      <c r="A227" t="s">
        <v>268</v>
      </c>
      <c r="B227" s="7">
        <v>45641</v>
      </c>
      <c r="C227" t="s">
        <v>31</v>
      </c>
      <c r="D227" t="s">
        <v>23</v>
      </c>
      <c r="E227" t="s">
        <v>24</v>
      </c>
      <c r="F227" t="s">
        <v>51</v>
      </c>
      <c r="G227">
        <v>12900000</v>
      </c>
      <c r="H227">
        <v>4200000</v>
      </c>
      <c r="I227" t="s">
        <v>26</v>
      </c>
      <c r="J227" s="7">
        <v>46063</v>
      </c>
      <c r="K227">
        <v>7500000</v>
      </c>
      <c r="L227" t="s">
        <v>52</v>
      </c>
    </row>
    <row r="228" spans="1:12" x14ac:dyDescent="0.3">
      <c r="A228" t="s">
        <v>269</v>
      </c>
      <c r="B228" s="7">
        <v>45295</v>
      </c>
      <c r="C228" t="s">
        <v>13</v>
      </c>
      <c r="D228" t="s">
        <v>14</v>
      </c>
      <c r="E228" t="s">
        <v>15</v>
      </c>
      <c r="F228" t="s">
        <v>25</v>
      </c>
      <c r="G228">
        <v>3250000</v>
      </c>
      <c r="H228">
        <v>3250000</v>
      </c>
      <c r="I228" t="s">
        <v>20</v>
      </c>
      <c r="J228" s="7">
        <v>45484</v>
      </c>
      <c r="K228">
        <v>8500000</v>
      </c>
      <c r="L228" t="s">
        <v>29</v>
      </c>
    </row>
    <row r="229" spans="1:12" x14ac:dyDescent="0.3">
      <c r="A229" t="s">
        <v>270</v>
      </c>
      <c r="B229" s="7">
        <v>45415</v>
      </c>
      <c r="C229" t="s">
        <v>31</v>
      </c>
      <c r="D229" t="s">
        <v>14</v>
      </c>
      <c r="E229" t="s">
        <v>15</v>
      </c>
      <c r="F229" t="s">
        <v>51</v>
      </c>
      <c r="G229">
        <v>13400000</v>
      </c>
      <c r="H229">
        <v>13400000</v>
      </c>
      <c r="I229" t="s">
        <v>20</v>
      </c>
      <c r="J229" s="7">
        <v>46170</v>
      </c>
      <c r="K229">
        <v>7500000</v>
      </c>
      <c r="L229" t="s">
        <v>502</v>
      </c>
    </row>
    <row r="230" spans="1:12" x14ac:dyDescent="0.3">
      <c r="A230" t="s">
        <v>271</v>
      </c>
      <c r="B230" s="7">
        <v>45366</v>
      </c>
      <c r="C230" t="s">
        <v>22</v>
      </c>
      <c r="D230" t="s">
        <v>23</v>
      </c>
      <c r="E230" t="s">
        <v>24</v>
      </c>
      <c r="F230" t="s">
        <v>16</v>
      </c>
      <c r="G230">
        <v>4300000</v>
      </c>
      <c r="H230">
        <v>4300000</v>
      </c>
      <c r="I230" t="s">
        <v>20</v>
      </c>
      <c r="J230" s="7">
        <v>45883</v>
      </c>
      <c r="K230">
        <v>8000000</v>
      </c>
      <c r="L230" t="s">
        <v>29</v>
      </c>
    </row>
    <row r="231" spans="1:12" x14ac:dyDescent="0.3">
      <c r="A231" t="s">
        <v>272</v>
      </c>
      <c r="B231" s="7">
        <v>45352</v>
      </c>
      <c r="C231" t="s">
        <v>28</v>
      </c>
      <c r="D231" t="s">
        <v>44</v>
      </c>
      <c r="E231" t="s">
        <v>45</v>
      </c>
      <c r="F231" t="s">
        <v>33</v>
      </c>
      <c r="G231">
        <v>7450000</v>
      </c>
      <c r="H231">
        <v>1600000</v>
      </c>
      <c r="I231" t="s">
        <v>26</v>
      </c>
      <c r="J231" s="7">
        <v>45985</v>
      </c>
      <c r="K231">
        <v>7000000</v>
      </c>
      <c r="L231" t="s">
        <v>18</v>
      </c>
    </row>
    <row r="232" spans="1:12" x14ac:dyDescent="0.3">
      <c r="A232" t="s">
        <v>273</v>
      </c>
      <c r="B232" s="7">
        <v>45584</v>
      </c>
      <c r="C232" t="s">
        <v>31</v>
      </c>
      <c r="D232" t="s">
        <v>23</v>
      </c>
      <c r="E232" t="s">
        <v>24</v>
      </c>
      <c r="F232" t="s">
        <v>33</v>
      </c>
      <c r="G232">
        <v>7150000</v>
      </c>
      <c r="H232">
        <v>7150000</v>
      </c>
      <c r="I232" t="s">
        <v>20</v>
      </c>
      <c r="J232" s="7">
        <v>46225</v>
      </c>
      <c r="K232">
        <v>7500000</v>
      </c>
      <c r="L232" t="s">
        <v>38</v>
      </c>
    </row>
    <row r="233" spans="1:12" x14ac:dyDescent="0.3">
      <c r="A233" t="s">
        <v>274</v>
      </c>
      <c r="B233" s="7">
        <v>45344</v>
      </c>
      <c r="C233" t="s">
        <v>31</v>
      </c>
      <c r="D233" t="s">
        <v>14</v>
      </c>
      <c r="E233" t="s">
        <v>15</v>
      </c>
      <c r="F233" t="s">
        <v>51</v>
      </c>
      <c r="G233">
        <v>11350000</v>
      </c>
      <c r="H233">
        <v>11350000</v>
      </c>
      <c r="I233" t="s">
        <v>20</v>
      </c>
      <c r="J233" s="7">
        <v>45726</v>
      </c>
      <c r="K233">
        <v>7500000</v>
      </c>
      <c r="L233" t="s">
        <v>502</v>
      </c>
    </row>
    <row r="234" spans="1:12" x14ac:dyDescent="0.3">
      <c r="A234" t="s">
        <v>275</v>
      </c>
      <c r="B234" s="7">
        <v>45438</v>
      </c>
      <c r="C234" t="s">
        <v>35</v>
      </c>
      <c r="D234" t="s">
        <v>14</v>
      </c>
      <c r="E234" t="s">
        <v>15</v>
      </c>
      <c r="F234" t="s">
        <v>51</v>
      </c>
      <c r="G234">
        <v>12300000</v>
      </c>
      <c r="H234">
        <v>12300000</v>
      </c>
      <c r="I234" t="s">
        <v>20</v>
      </c>
      <c r="J234" s="7">
        <v>45745</v>
      </c>
      <c r="K234">
        <v>9000000</v>
      </c>
      <c r="L234" t="s">
        <v>40</v>
      </c>
    </row>
    <row r="235" spans="1:12" x14ac:dyDescent="0.3">
      <c r="A235" t="s">
        <v>276</v>
      </c>
      <c r="B235" s="7">
        <v>45370</v>
      </c>
      <c r="C235" t="s">
        <v>13</v>
      </c>
      <c r="D235" t="s">
        <v>44</v>
      </c>
      <c r="E235" t="s">
        <v>45</v>
      </c>
      <c r="F235" t="s">
        <v>16</v>
      </c>
      <c r="G235">
        <v>4850000</v>
      </c>
      <c r="H235">
        <v>0</v>
      </c>
      <c r="I235" t="s">
        <v>17</v>
      </c>
      <c r="J235" s="7">
        <v>46112</v>
      </c>
      <c r="K235">
        <v>8500000</v>
      </c>
      <c r="L235" t="s">
        <v>502</v>
      </c>
    </row>
    <row r="236" spans="1:12" x14ac:dyDescent="0.3">
      <c r="A236" t="s">
        <v>277</v>
      </c>
      <c r="B236" s="7">
        <v>45643</v>
      </c>
      <c r="C236" t="s">
        <v>35</v>
      </c>
      <c r="D236" t="s">
        <v>23</v>
      </c>
      <c r="E236" t="s">
        <v>24</v>
      </c>
      <c r="F236" t="s">
        <v>25</v>
      </c>
      <c r="G236">
        <v>2900000</v>
      </c>
      <c r="H236">
        <v>2900000</v>
      </c>
      <c r="I236" t="s">
        <v>20</v>
      </c>
      <c r="J236" s="7">
        <v>46017</v>
      </c>
      <c r="K236">
        <v>9000000</v>
      </c>
      <c r="L236" t="s">
        <v>38</v>
      </c>
    </row>
    <row r="237" spans="1:12" x14ac:dyDescent="0.3">
      <c r="A237" t="s">
        <v>278</v>
      </c>
      <c r="B237" s="7">
        <v>45437</v>
      </c>
      <c r="C237" t="s">
        <v>35</v>
      </c>
      <c r="D237" t="s">
        <v>44</v>
      </c>
      <c r="E237" t="s">
        <v>45</v>
      </c>
      <c r="F237" t="s">
        <v>33</v>
      </c>
      <c r="G237">
        <v>7150000</v>
      </c>
      <c r="H237">
        <v>7150000</v>
      </c>
      <c r="I237" t="s">
        <v>20</v>
      </c>
      <c r="J237" s="7">
        <v>45700</v>
      </c>
      <c r="K237">
        <v>9000000</v>
      </c>
      <c r="L237" t="s">
        <v>52</v>
      </c>
    </row>
    <row r="238" spans="1:12" x14ac:dyDescent="0.3">
      <c r="A238" t="s">
        <v>279</v>
      </c>
      <c r="B238" s="7">
        <v>45631</v>
      </c>
      <c r="C238" t="s">
        <v>28</v>
      </c>
      <c r="D238" t="s">
        <v>14</v>
      </c>
      <c r="E238" t="s">
        <v>15</v>
      </c>
      <c r="F238" t="s">
        <v>33</v>
      </c>
      <c r="G238">
        <v>7800000</v>
      </c>
      <c r="H238">
        <v>7800000</v>
      </c>
      <c r="I238" t="s">
        <v>20</v>
      </c>
      <c r="J238" s="7">
        <v>46014</v>
      </c>
      <c r="K238">
        <v>7000000</v>
      </c>
      <c r="L238" t="s">
        <v>52</v>
      </c>
    </row>
    <row r="239" spans="1:12" x14ac:dyDescent="0.3">
      <c r="A239" t="s">
        <v>280</v>
      </c>
      <c r="B239" s="7">
        <v>45638</v>
      </c>
      <c r="C239" t="s">
        <v>31</v>
      </c>
      <c r="D239" t="s">
        <v>44</v>
      </c>
      <c r="E239" t="s">
        <v>45</v>
      </c>
      <c r="F239" t="s">
        <v>16</v>
      </c>
      <c r="G239">
        <v>5600000</v>
      </c>
      <c r="H239">
        <v>0</v>
      </c>
      <c r="I239" t="s">
        <v>17</v>
      </c>
      <c r="J239" s="7">
        <v>46277</v>
      </c>
      <c r="K239">
        <v>7500000</v>
      </c>
      <c r="L239" t="s">
        <v>29</v>
      </c>
    </row>
    <row r="240" spans="1:12" x14ac:dyDescent="0.3">
      <c r="A240" t="s">
        <v>281</v>
      </c>
      <c r="B240" s="7">
        <v>45420</v>
      </c>
      <c r="C240" t="s">
        <v>22</v>
      </c>
      <c r="D240" t="s">
        <v>23</v>
      </c>
      <c r="E240" t="s">
        <v>24</v>
      </c>
      <c r="F240" t="s">
        <v>33</v>
      </c>
      <c r="G240">
        <v>6950000</v>
      </c>
      <c r="H240">
        <v>0</v>
      </c>
      <c r="I240" t="s">
        <v>17</v>
      </c>
      <c r="J240" s="7">
        <v>46128</v>
      </c>
      <c r="K240">
        <v>8000000</v>
      </c>
      <c r="L240" t="s">
        <v>38</v>
      </c>
    </row>
    <row r="241" spans="1:12" x14ac:dyDescent="0.3">
      <c r="A241" t="s">
        <v>282</v>
      </c>
      <c r="B241" s="7">
        <v>45383</v>
      </c>
      <c r="C241" t="s">
        <v>35</v>
      </c>
      <c r="D241" t="s">
        <v>14</v>
      </c>
      <c r="E241" t="s">
        <v>15</v>
      </c>
      <c r="F241" t="s">
        <v>16</v>
      </c>
      <c r="G241">
        <v>4100000</v>
      </c>
      <c r="H241">
        <v>4100000</v>
      </c>
      <c r="I241" t="s">
        <v>20</v>
      </c>
      <c r="J241" s="7">
        <v>46129</v>
      </c>
      <c r="K241">
        <v>9000000</v>
      </c>
      <c r="L241" t="s">
        <v>18</v>
      </c>
    </row>
    <row r="242" spans="1:12" x14ac:dyDescent="0.3">
      <c r="A242" t="s">
        <v>283</v>
      </c>
      <c r="B242" s="7">
        <v>45306</v>
      </c>
      <c r="C242" t="s">
        <v>22</v>
      </c>
      <c r="D242" t="s">
        <v>23</v>
      </c>
      <c r="E242" t="s">
        <v>24</v>
      </c>
      <c r="F242" t="s">
        <v>16</v>
      </c>
      <c r="G242">
        <v>5200000</v>
      </c>
      <c r="H242">
        <v>5200000</v>
      </c>
      <c r="I242" t="s">
        <v>20</v>
      </c>
      <c r="J242" s="7">
        <v>45525</v>
      </c>
      <c r="K242">
        <v>8000000</v>
      </c>
      <c r="L242" t="s">
        <v>38</v>
      </c>
    </row>
    <row r="243" spans="1:12" x14ac:dyDescent="0.3">
      <c r="A243" t="s">
        <v>284</v>
      </c>
      <c r="B243" s="7">
        <v>45645</v>
      </c>
      <c r="C243" t="s">
        <v>22</v>
      </c>
      <c r="D243" t="s">
        <v>44</v>
      </c>
      <c r="E243" t="s">
        <v>45</v>
      </c>
      <c r="F243" t="s">
        <v>16</v>
      </c>
      <c r="G243">
        <v>4450000</v>
      </c>
      <c r="H243">
        <v>1250000</v>
      </c>
      <c r="I243" t="s">
        <v>26</v>
      </c>
      <c r="J243" s="7">
        <v>46018</v>
      </c>
      <c r="K243">
        <v>8000000</v>
      </c>
      <c r="L243" t="s">
        <v>502</v>
      </c>
    </row>
    <row r="244" spans="1:12" x14ac:dyDescent="0.3">
      <c r="A244" t="s">
        <v>285</v>
      </c>
      <c r="B244" s="7">
        <v>45329</v>
      </c>
      <c r="C244" t="s">
        <v>35</v>
      </c>
      <c r="D244" t="s">
        <v>23</v>
      </c>
      <c r="E244" t="s">
        <v>24</v>
      </c>
      <c r="F244" t="s">
        <v>16</v>
      </c>
      <c r="G244">
        <v>5550000</v>
      </c>
      <c r="H244">
        <v>5550000</v>
      </c>
      <c r="I244" t="s">
        <v>20</v>
      </c>
      <c r="J244" s="7">
        <v>46069</v>
      </c>
      <c r="K244">
        <v>9000000</v>
      </c>
      <c r="L244" t="s">
        <v>38</v>
      </c>
    </row>
    <row r="245" spans="1:12" x14ac:dyDescent="0.3">
      <c r="A245" t="s">
        <v>286</v>
      </c>
      <c r="B245" s="7">
        <v>45646</v>
      </c>
      <c r="C245" t="s">
        <v>28</v>
      </c>
      <c r="D245" t="s">
        <v>14</v>
      </c>
      <c r="E245" t="s">
        <v>15</v>
      </c>
      <c r="F245" t="s">
        <v>33</v>
      </c>
      <c r="G245">
        <v>8350000</v>
      </c>
      <c r="H245">
        <v>8350000</v>
      </c>
      <c r="I245" t="s">
        <v>20</v>
      </c>
      <c r="J245" s="7">
        <v>46246</v>
      </c>
      <c r="K245">
        <v>7000000</v>
      </c>
      <c r="L245" t="s">
        <v>40</v>
      </c>
    </row>
    <row r="246" spans="1:12" x14ac:dyDescent="0.3">
      <c r="A246" t="s">
        <v>287</v>
      </c>
      <c r="B246" s="7">
        <v>45341</v>
      </c>
      <c r="C246" t="s">
        <v>35</v>
      </c>
      <c r="D246" t="s">
        <v>44</v>
      </c>
      <c r="E246" t="s">
        <v>45</v>
      </c>
      <c r="F246" t="s">
        <v>25</v>
      </c>
      <c r="G246">
        <v>3100000</v>
      </c>
      <c r="H246">
        <v>850000</v>
      </c>
      <c r="I246" t="s">
        <v>26</v>
      </c>
      <c r="J246" s="7">
        <v>46207</v>
      </c>
      <c r="K246">
        <v>9000000</v>
      </c>
      <c r="L246" t="s">
        <v>38</v>
      </c>
    </row>
    <row r="247" spans="1:12" x14ac:dyDescent="0.3">
      <c r="A247" t="s">
        <v>288</v>
      </c>
      <c r="B247" s="7">
        <v>45404</v>
      </c>
      <c r="C247" t="s">
        <v>35</v>
      </c>
      <c r="D247" t="s">
        <v>14</v>
      </c>
      <c r="E247" t="s">
        <v>15</v>
      </c>
      <c r="F247" t="s">
        <v>16</v>
      </c>
      <c r="G247">
        <v>5700000</v>
      </c>
      <c r="H247">
        <v>5700000</v>
      </c>
      <c r="I247" t="s">
        <v>20</v>
      </c>
      <c r="J247" s="7">
        <v>45907</v>
      </c>
      <c r="K247">
        <v>9000000</v>
      </c>
      <c r="L247" t="s">
        <v>502</v>
      </c>
    </row>
    <row r="248" spans="1:12" x14ac:dyDescent="0.3">
      <c r="A248" t="s">
        <v>289</v>
      </c>
      <c r="B248" s="7">
        <v>45576</v>
      </c>
      <c r="C248" t="s">
        <v>31</v>
      </c>
      <c r="D248" t="s">
        <v>14</v>
      </c>
      <c r="E248" t="s">
        <v>15</v>
      </c>
      <c r="F248" t="s">
        <v>16</v>
      </c>
      <c r="G248">
        <v>4650000</v>
      </c>
      <c r="H248">
        <v>1350000</v>
      </c>
      <c r="I248" t="s">
        <v>26</v>
      </c>
      <c r="J248" s="7">
        <v>46123</v>
      </c>
      <c r="K248">
        <v>7500000</v>
      </c>
      <c r="L248" t="s">
        <v>42</v>
      </c>
    </row>
    <row r="249" spans="1:12" x14ac:dyDescent="0.3">
      <c r="A249" t="s">
        <v>290</v>
      </c>
      <c r="B249" s="7">
        <v>45305</v>
      </c>
      <c r="C249" t="s">
        <v>22</v>
      </c>
      <c r="D249" t="s">
        <v>14</v>
      </c>
      <c r="E249" t="s">
        <v>15</v>
      </c>
      <c r="F249" t="s">
        <v>51</v>
      </c>
      <c r="G249">
        <v>11750000</v>
      </c>
      <c r="H249">
        <v>1300000</v>
      </c>
      <c r="I249" t="s">
        <v>26</v>
      </c>
      <c r="J249" s="7">
        <v>45664</v>
      </c>
      <c r="K249">
        <v>8000000</v>
      </c>
      <c r="L249" t="s">
        <v>502</v>
      </c>
    </row>
    <row r="250" spans="1:12" x14ac:dyDescent="0.3">
      <c r="A250" t="s">
        <v>291</v>
      </c>
      <c r="B250" s="7">
        <v>45351</v>
      </c>
      <c r="C250" t="s">
        <v>13</v>
      </c>
      <c r="D250" t="s">
        <v>14</v>
      </c>
      <c r="E250" t="s">
        <v>15</v>
      </c>
      <c r="F250" t="s">
        <v>33</v>
      </c>
      <c r="G250">
        <v>8800000</v>
      </c>
      <c r="H250">
        <v>1950000</v>
      </c>
      <c r="I250" t="s">
        <v>26</v>
      </c>
      <c r="J250" s="7">
        <v>45723</v>
      </c>
      <c r="K250">
        <v>8500000</v>
      </c>
      <c r="L250" t="s">
        <v>502</v>
      </c>
    </row>
    <row r="251" spans="1:12" x14ac:dyDescent="0.3">
      <c r="A251" t="s">
        <v>292</v>
      </c>
      <c r="B251" s="7">
        <v>45528</v>
      </c>
      <c r="C251" t="s">
        <v>22</v>
      </c>
      <c r="D251" t="s">
        <v>14</v>
      </c>
      <c r="E251" t="s">
        <v>15</v>
      </c>
      <c r="F251" t="s">
        <v>16</v>
      </c>
      <c r="G251">
        <v>5950000</v>
      </c>
      <c r="H251">
        <v>0</v>
      </c>
      <c r="I251" t="s">
        <v>17</v>
      </c>
      <c r="J251" s="7">
        <v>46006</v>
      </c>
      <c r="K251">
        <v>8000000</v>
      </c>
      <c r="L251" t="s">
        <v>502</v>
      </c>
    </row>
    <row r="252" spans="1:12" x14ac:dyDescent="0.3">
      <c r="A252" t="s">
        <v>293</v>
      </c>
      <c r="B252" s="7">
        <v>45497</v>
      </c>
      <c r="C252" t="s">
        <v>28</v>
      </c>
      <c r="D252" t="s">
        <v>14</v>
      </c>
      <c r="E252" t="s">
        <v>15</v>
      </c>
      <c r="F252" t="s">
        <v>16</v>
      </c>
      <c r="G252">
        <v>5500000</v>
      </c>
      <c r="H252">
        <v>5500000</v>
      </c>
      <c r="I252" t="s">
        <v>20</v>
      </c>
      <c r="J252" s="7">
        <v>46162</v>
      </c>
      <c r="K252">
        <v>7000000</v>
      </c>
      <c r="L252" t="s">
        <v>502</v>
      </c>
    </row>
    <row r="253" spans="1:12" x14ac:dyDescent="0.3">
      <c r="A253" t="s">
        <v>294</v>
      </c>
      <c r="B253" s="7">
        <v>45491</v>
      </c>
      <c r="C253" t="s">
        <v>13</v>
      </c>
      <c r="D253" t="s">
        <v>14</v>
      </c>
      <c r="E253" t="s">
        <v>15</v>
      </c>
      <c r="F253" t="s">
        <v>16</v>
      </c>
      <c r="G253">
        <v>4450000</v>
      </c>
      <c r="H253">
        <v>4450000</v>
      </c>
      <c r="I253" t="s">
        <v>20</v>
      </c>
      <c r="J253" s="7">
        <v>46117</v>
      </c>
      <c r="K253">
        <v>8500000</v>
      </c>
      <c r="L253" t="s">
        <v>502</v>
      </c>
    </row>
    <row r="254" spans="1:12" x14ac:dyDescent="0.3">
      <c r="A254" t="s">
        <v>295</v>
      </c>
      <c r="B254" s="7">
        <v>45604</v>
      </c>
      <c r="C254" t="s">
        <v>13</v>
      </c>
      <c r="D254" t="s">
        <v>14</v>
      </c>
      <c r="E254" t="s">
        <v>15</v>
      </c>
      <c r="F254" t="s">
        <v>16</v>
      </c>
      <c r="G254">
        <v>5900000</v>
      </c>
      <c r="H254">
        <v>850000</v>
      </c>
      <c r="I254" t="s">
        <v>26</v>
      </c>
      <c r="J254" s="7">
        <v>46256</v>
      </c>
      <c r="K254">
        <v>8500000</v>
      </c>
      <c r="L254" t="s">
        <v>18</v>
      </c>
    </row>
    <row r="255" spans="1:12" x14ac:dyDescent="0.3">
      <c r="A255" t="s">
        <v>296</v>
      </c>
      <c r="B255" s="7">
        <v>45593</v>
      </c>
      <c r="C255" t="s">
        <v>35</v>
      </c>
      <c r="D255" t="s">
        <v>44</v>
      </c>
      <c r="E255" t="s">
        <v>45</v>
      </c>
      <c r="F255" t="s">
        <v>33</v>
      </c>
      <c r="G255">
        <v>8300000</v>
      </c>
      <c r="H255">
        <v>8300000</v>
      </c>
      <c r="I255" t="s">
        <v>20</v>
      </c>
      <c r="J255" s="7">
        <v>46403</v>
      </c>
      <c r="K255">
        <v>9000000</v>
      </c>
      <c r="L255" t="s">
        <v>52</v>
      </c>
    </row>
    <row r="256" spans="1:12" x14ac:dyDescent="0.3">
      <c r="A256" t="s">
        <v>297</v>
      </c>
      <c r="B256" s="7">
        <v>45627</v>
      </c>
      <c r="C256" t="s">
        <v>22</v>
      </c>
      <c r="D256" t="s">
        <v>23</v>
      </c>
      <c r="E256" t="s">
        <v>24</v>
      </c>
      <c r="F256" t="s">
        <v>16</v>
      </c>
      <c r="G256">
        <v>5600000</v>
      </c>
      <c r="H256">
        <v>1850000</v>
      </c>
      <c r="I256" t="s">
        <v>26</v>
      </c>
      <c r="J256" s="7">
        <v>46266</v>
      </c>
      <c r="K256">
        <v>8000000</v>
      </c>
      <c r="L256" t="s">
        <v>40</v>
      </c>
    </row>
    <row r="257" spans="1:12" x14ac:dyDescent="0.3">
      <c r="A257" t="s">
        <v>298</v>
      </c>
      <c r="B257" s="7">
        <v>45640</v>
      </c>
      <c r="C257" t="s">
        <v>13</v>
      </c>
      <c r="D257" t="s">
        <v>23</v>
      </c>
      <c r="E257" t="s">
        <v>24</v>
      </c>
      <c r="F257" t="s">
        <v>16</v>
      </c>
      <c r="G257">
        <v>5250000</v>
      </c>
      <c r="H257">
        <v>1350000</v>
      </c>
      <c r="I257" t="s">
        <v>26</v>
      </c>
      <c r="J257" s="7">
        <v>46386</v>
      </c>
      <c r="K257">
        <v>8500000</v>
      </c>
      <c r="L257" t="s">
        <v>42</v>
      </c>
    </row>
    <row r="258" spans="1:12" x14ac:dyDescent="0.3">
      <c r="A258" t="s">
        <v>299</v>
      </c>
      <c r="B258" s="7">
        <v>45624</v>
      </c>
      <c r="C258" t="s">
        <v>22</v>
      </c>
      <c r="D258" t="s">
        <v>44</v>
      </c>
      <c r="E258" t="s">
        <v>45</v>
      </c>
      <c r="F258" t="s">
        <v>25</v>
      </c>
      <c r="G258">
        <v>3300000</v>
      </c>
      <c r="H258">
        <v>3300000</v>
      </c>
      <c r="I258" t="s">
        <v>20</v>
      </c>
      <c r="J258" s="7">
        <v>46057</v>
      </c>
      <c r="K258">
        <v>8000000</v>
      </c>
      <c r="L258" t="s">
        <v>29</v>
      </c>
    </row>
    <row r="259" spans="1:12" x14ac:dyDescent="0.3">
      <c r="A259" t="s">
        <v>300</v>
      </c>
      <c r="B259" s="7">
        <v>45608</v>
      </c>
      <c r="C259" t="s">
        <v>13</v>
      </c>
      <c r="D259" t="s">
        <v>23</v>
      </c>
      <c r="E259" t="s">
        <v>24</v>
      </c>
      <c r="F259" t="s">
        <v>25</v>
      </c>
      <c r="G259">
        <v>2950000</v>
      </c>
      <c r="H259">
        <v>2950000</v>
      </c>
      <c r="I259" t="s">
        <v>20</v>
      </c>
      <c r="J259" s="7">
        <v>46037</v>
      </c>
      <c r="K259">
        <v>8500000</v>
      </c>
      <c r="L259" t="s">
        <v>502</v>
      </c>
    </row>
    <row r="260" spans="1:12" x14ac:dyDescent="0.3">
      <c r="A260" t="s">
        <v>301</v>
      </c>
      <c r="B260" s="7">
        <v>45342</v>
      </c>
      <c r="C260" t="s">
        <v>13</v>
      </c>
      <c r="D260" t="s">
        <v>14</v>
      </c>
      <c r="E260" t="s">
        <v>15</v>
      </c>
      <c r="F260" t="s">
        <v>16</v>
      </c>
      <c r="G260">
        <v>4950000</v>
      </c>
      <c r="H260">
        <v>4950000</v>
      </c>
      <c r="I260" t="s">
        <v>20</v>
      </c>
      <c r="J260" s="7">
        <v>45960</v>
      </c>
      <c r="K260">
        <v>8500000</v>
      </c>
      <c r="L260" t="s">
        <v>29</v>
      </c>
    </row>
    <row r="261" spans="1:12" x14ac:dyDescent="0.3">
      <c r="A261" t="s">
        <v>302</v>
      </c>
      <c r="B261" s="7">
        <v>45397</v>
      </c>
      <c r="C261" t="s">
        <v>31</v>
      </c>
      <c r="D261" t="s">
        <v>44</v>
      </c>
      <c r="E261" t="s">
        <v>45</v>
      </c>
      <c r="F261" t="s">
        <v>16</v>
      </c>
      <c r="G261">
        <v>5100000</v>
      </c>
      <c r="H261">
        <v>5100000</v>
      </c>
      <c r="I261" t="s">
        <v>20</v>
      </c>
      <c r="J261" s="7">
        <v>46188</v>
      </c>
      <c r="K261">
        <v>7500000</v>
      </c>
      <c r="L261" t="s">
        <v>502</v>
      </c>
    </row>
    <row r="262" spans="1:12" x14ac:dyDescent="0.3">
      <c r="A262" t="s">
        <v>303</v>
      </c>
      <c r="B262" s="7">
        <v>45578</v>
      </c>
      <c r="C262" t="s">
        <v>13</v>
      </c>
      <c r="D262" t="s">
        <v>14</v>
      </c>
      <c r="E262" t="s">
        <v>15</v>
      </c>
      <c r="F262" t="s">
        <v>51</v>
      </c>
      <c r="G262">
        <v>12900000</v>
      </c>
      <c r="H262">
        <v>0</v>
      </c>
      <c r="I262" t="s">
        <v>17</v>
      </c>
      <c r="J262" s="7">
        <v>45946</v>
      </c>
      <c r="K262">
        <v>8500000</v>
      </c>
      <c r="L262" t="s">
        <v>52</v>
      </c>
    </row>
    <row r="263" spans="1:12" x14ac:dyDescent="0.3">
      <c r="A263" t="s">
        <v>304</v>
      </c>
      <c r="B263" s="7">
        <v>45468</v>
      </c>
      <c r="C263" t="s">
        <v>31</v>
      </c>
      <c r="D263" t="s">
        <v>23</v>
      </c>
      <c r="E263" t="s">
        <v>24</v>
      </c>
      <c r="F263" t="s">
        <v>33</v>
      </c>
      <c r="G263">
        <v>6850000</v>
      </c>
      <c r="H263">
        <v>6850000</v>
      </c>
      <c r="I263" t="s">
        <v>20</v>
      </c>
      <c r="J263" s="7">
        <v>46100</v>
      </c>
      <c r="K263">
        <v>7500000</v>
      </c>
      <c r="L263" t="s">
        <v>18</v>
      </c>
    </row>
    <row r="264" spans="1:12" x14ac:dyDescent="0.3">
      <c r="A264" t="s">
        <v>305</v>
      </c>
      <c r="B264" s="7">
        <v>45583</v>
      </c>
      <c r="C264" t="s">
        <v>13</v>
      </c>
      <c r="D264" t="s">
        <v>14</v>
      </c>
      <c r="E264" t="s">
        <v>15</v>
      </c>
      <c r="F264" t="s">
        <v>51</v>
      </c>
      <c r="G264">
        <v>13450000</v>
      </c>
      <c r="H264">
        <v>13450000</v>
      </c>
      <c r="I264" t="s">
        <v>20</v>
      </c>
      <c r="J264" s="7">
        <v>45780</v>
      </c>
      <c r="K264">
        <v>8500000</v>
      </c>
      <c r="L264" t="s">
        <v>38</v>
      </c>
    </row>
    <row r="265" spans="1:12" x14ac:dyDescent="0.3">
      <c r="A265" t="s">
        <v>306</v>
      </c>
      <c r="B265" s="7">
        <v>45413</v>
      </c>
      <c r="C265" t="s">
        <v>35</v>
      </c>
      <c r="D265" t="s">
        <v>44</v>
      </c>
      <c r="E265" t="s">
        <v>45</v>
      </c>
      <c r="F265" t="s">
        <v>33</v>
      </c>
      <c r="G265">
        <v>7450000</v>
      </c>
      <c r="H265">
        <v>1400000</v>
      </c>
      <c r="I265" t="s">
        <v>26</v>
      </c>
      <c r="J265" s="7">
        <v>45655</v>
      </c>
      <c r="K265">
        <v>9000000</v>
      </c>
      <c r="L265" t="s">
        <v>502</v>
      </c>
    </row>
    <row r="266" spans="1:12" x14ac:dyDescent="0.3">
      <c r="A266" t="s">
        <v>307</v>
      </c>
      <c r="B266" s="7">
        <v>45351</v>
      </c>
      <c r="C266" t="s">
        <v>22</v>
      </c>
      <c r="D266" t="s">
        <v>14</v>
      </c>
      <c r="E266" t="s">
        <v>15</v>
      </c>
      <c r="F266" t="s">
        <v>16</v>
      </c>
      <c r="G266">
        <v>4950000</v>
      </c>
      <c r="H266">
        <v>4950000</v>
      </c>
      <c r="I266" t="s">
        <v>20</v>
      </c>
      <c r="J266" s="7">
        <v>46217</v>
      </c>
      <c r="K266">
        <v>8000000</v>
      </c>
      <c r="L266" t="s">
        <v>502</v>
      </c>
    </row>
    <row r="267" spans="1:12" x14ac:dyDescent="0.3">
      <c r="A267" t="s">
        <v>308</v>
      </c>
      <c r="B267" s="7">
        <v>45568</v>
      </c>
      <c r="C267" t="s">
        <v>28</v>
      </c>
      <c r="D267" t="s">
        <v>44</v>
      </c>
      <c r="E267" t="s">
        <v>45</v>
      </c>
      <c r="F267" t="s">
        <v>16</v>
      </c>
      <c r="G267">
        <v>5000000</v>
      </c>
      <c r="H267">
        <v>5000000</v>
      </c>
      <c r="I267" t="s">
        <v>20</v>
      </c>
      <c r="J267" s="7">
        <v>45862</v>
      </c>
      <c r="K267">
        <v>7000000</v>
      </c>
      <c r="L267" t="s">
        <v>40</v>
      </c>
    </row>
    <row r="268" spans="1:12" x14ac:dyDescent="0.3">
      <c r="A268" t="s">
        <v>310</v>
      </c>
      <c r="B268" s="7">
        <v>45622</v>
      </c>
      <c r="C268" t="s">
        <v>31</v>
      </c>
      <c r="D268" t="s">
        <v>14</v>
      </c>
      <c r="E268" t="s">
        <v>15</v>
      </c>
      <c r="F268" t="s">
        <v>16</v>
      </c>
      <c r="G268">
        <v>4400000</v>
      </c>
      <c r="H268">
        <v>4400000</v>
      </c>
      <c r="I268" t="s">
        <v>26</v>
      </c>
      <c r="J268" s="7">
        <v>46418</v>
      </c>
      <c r="K268">
        <v>7500000</v>
      </c>
      <c r="L268" t="s">
        <v>52</v>
      </c>
    </row>
    <row r="269" spans="1:12" x14ac:dyDescent="0.3">
      <c r="A269" t="s">
        <v>311</v>
      </c>
      <c r="B269" s="7">
        <v>45582</v>
      </c>
      <c r="C269" t="s">
        <v>28</v>
      </c>
      <c r="D269" t="s">
        <v>14</v>
      </c>
      <c r="E269" t="s">
        <v>15</v>
      </c>
      <c r="F269" t="s">
        <v>51</v>
      </c>
      <c r="G269">
        <v>13650000</v>
      </c>
      <c r="H269">
        <v>2650000</v>
      </c>
      <c r="I269" t="s">
        <v>26</v>
      </c>
      <c r="J269" s="7">
        <v>46264</v>
      </c>
      <c r="K269">
        <v>7000000</v>
      </c>
      <c r="L269" t="s">
        <v>42</v>
      </c>
    </row>
    <row r="270" spans="1:12" x14ac:dyDescent="0.3">
      <c r="A270" t="s">
        <v>312</v>
      </c>
      <c r="B270" s="7">
        <v>45550</v>
      </c>
      <c r="C270" t="s">
        <v>31</v>
      </c>
      <c r="D270" t="s">
        <v>23</v>
      </c>
      <c r="E270" t="s">
        <v>24</v>
      </c>
      <c r="F270" t="s">
        <v>25</v>
      </c>
      <c r="G270">
        <v>3100000</v>
      </c>
      <c r="H270">
        <v>350000</v>
      </c>
      <c r="I270" t="s">
        <v>26</v>
      </c>
      <c r="J270" s="7">
        <v>46408</v>
      </c>
      <c r="K270">
        <v>7500000</v>
      </c>
      <c r="L270" t="s">
        <v>52</v>
      </c>
    </row>
    <row r="271" spans="1:12" x14ac:dyDescent="0.3">
      <c r="A271" t="s">
        <v>313</v>
      </c>
      <c r="B271" s="7">
        <v>45596</v>
      </c>
      <c r="C271" t="s">
        <v>22</v>
      </c>
      <c r="D271" t="s">
        <v>14</v>
      </c>
      <c r="E271" t="s">
        <v>15</v>
      </c>
      <c r="F271" t="s">
        <v>16</v>
      </c>
      <c r="G271">
        <v>4250000</v>
      </c>
      <c r="H271">
        <v>750000</v>
      </c>
      <c r="I271" t="s">
        <v>26</v>
      </c>
      <c r="J271" s="7">
        <v>46384</v>
      </c>
      <c r="K271">
        <v>8000000</v>
      </c>
      <c r="L271" t="s">
        <v>42</v>
      </c>
    </row>
    <row r="272" spans="1:12" x14ac:dyDescent="0.3">
      <c r="A272" t="s">
        <v>314</v>
      </c>
      <c r="B272" s="7">
        <v>45503</v>
      </c>
      <c r="C272" t="s">
        <v>35</v>
      </c>
      <c r="D272" t="s">
        <v>14</v>
      </c>
      <c r="E272" t="s">
        <v>15</v>
      </c>
      <c r="F272" t="s">
        <v>33</v>
      </c>
      <c r="G272">
        <v>7100000</v>
      </c>
      <c r="H272">
        <v>7100000</v>
      </c>
      <c r="I272" t="s">
        <v>20</v>
      </c>
      <c r="J272" s="7">
        <v>46246</v>
      </c>
      <c r="K272">
        <v>9000000</v>
      </c>
      <c r="L272" t="s">
        <v>52</v>
      </c>
    </row>
    <row r="273" spans="1:12" x14ac:dyDescent="0.3">
      <c r="A273" t="s">
        <v>315</v>
      </c>
      <c r="B273" s="7">
        <v>45553</v>
      </c>
      <c r="C273" t="s">
        <v>13</v>
      </c>
      <c r="D273" t="s">
        <v>44</v>
      </c>
      <c r="E273" t="s">
        <v>45</v>
      </c>
      <c r="F273" t="s">
        <v>16</v>
      </c>
      <c r="G273">
        <v>5400000</v>
      </c>
      <c r="H273">
        <v>5400000</v>
      </c>
      <c r="I273" t="s">
        <v>20</v>
      </c>
      <c r="J273" s="7">
        <v>46023</v>
      </c>
      <c r="K273">
        <v>8500000</v>
      </c>
      <c r="L273" t="s">
        <v>502</v>
      </c>
    </row>
    <row r="274" spans="1:12" x14ac:dyDescent="0.3">
      <c r="A274" t="s">
        <v>316</v>
      </c>
      <c r="B274" s="7">
        <v>45576</v>
      </c>
      <c r="C274" t="s">
        <v>35</v>
      </c>
      <c r="D274" t="s">
        <v>23</v>
      </c>
      <c r="E274" t="s">
        <v>24</v>
      </c>
      <c r="F274" t="s">
        <v>33</v>
      </c>
      <c r="G274">
        <v>7450000</v>
      </c>
      <c r="H274">
        <v>2650000</v>
      </c>
      <c r="I274" t="s">
        <v>26</v>
      </c>
      <c r="J274" s="7">
        <v>46392</v>
      </c>
      <c r="K274">
        <v>9000000</v>
      </c>
      <c r="L274" t="s">
        <v>502</v>
      </c>
    </row>
    <row r="275" spans="1:12" x14ac:dyDescent="0.3">
      <c r="A275" t="s">
        <v>317</v>
      </c>
      <c r="B275" s="7">
        <v>45656</v>
      </c>
      <c r="C275" t="s">
        <v>13</v>
      </c>
      <c r="D275" t="s">
        <v>14</v>
      </c>
      <c r="E275" t="s">
        <v>15</v>
      </c>
      <c r="F275" t="s">
        <v>16</v>
      </c>
      <c r="G275">
        <v>5300000</v>
      </c>
      <c r="H275">
        <v>5300000</v>
      </c>
      <c r="I275" t="s">
        <v>20</v>
      </c>
      <c r="J275" s="7">
        <v>45903</v>
      </c>
      <c r="K275">
        <v>8500000</v>
      </c>
      <c r="L275" t="s">
        <v>52</v>
      </c>
    </row>
    <row r="276" spans="1:12" x14ac:dyDescent="0.3">
      <c r="A276" t="s">
        <v>318</v>
      </c>
      <c r="B276" s="7">
        <v>45517</v>
      </c>
      <c r="C276" t="s">
        <v>35</v>
      </c>
      <c r="D276" t="s">
        <v>44</v>
      </c>
      <c r="E276" t="s">
        <v>45</v>
      </c>
      <c r="F276" t="s">
        <v>33</v>
      </c>
      <c r="G276">
        <v>7150000</v>
      </c>
      <c r="H276">
        <v>2050000</v>
      </c>
      <c r="I276" t="s">
        <v>26</v>
      </c>
      <c r="J276" s="7">
        <v>46150</v>
      </c>
      <c r="K276">
        <v>9000000</v>
      </c>
      <c r="L276" t="s">
        <v>29</v>
      </c>
    </row>
    <row r="277" spans="1:12" x14ac:dyDescent="0.3">
      <c r="A277" t="s">
        <v>319</v>
      </c>
      <c r="B277" s="7">
        <v>45320</v>
      </c>
      <c r="C277" t="s">
        <v>13</v>
      </c>
      <c r="D277" t="s">
        <v>23</v>
      </c>
      <c r="E277" t="s">
        <v>24</v>
      </c>
      <c r="F277" t="s">
        <v>16</v>
      </c>
      <c r="G277">
        <v>5200000</v>
      </c>
      <c r="H277">
        <v>5200000</v>
      </c>
      <c r="I277" t="s">
        <v>20</v>
      </c>
      <c r="J277" s="7">
        <v>46072</v>
      </c>
      <c r="K277">
        <v>8500000</v>
      </c>
      <c r="L277" t="s">
        <v>502</v>
      </c>
    </row>
    <row r="278" spans="1:12" x14ac:dyDescent="0.3">
      <c r="A278" t="s">
        <v>320</v>
      </c>
      <c r="B278" s="7">
        <v>45295</v>
      </c>
      <c r="C278" t="s">
        <v>31</v>
      </c>
      <c r="D278" t="s">
        <v>23</v>
      </c>
      <c r="E278" t="s">
        <v>24</v>
      </c>
      <c r="F278" t="s">
        <v>16</v>
      </c>
      <c r="G278">
        <v>4350000</v>
      </c>
      <c r="H278">
        <v>4350000</v>
      </c>
      <c r="I278" t="s">
        <v>20</v>
      </c>
      <c r="J278" s="7">
        <v>45819</v>
      </c>
      <c r="K278">
        <v>7500000</v>
      </c>
      <c r="L278" t="s">
        <v>38</v>
      </c>
    </row>
    <row r="279" spans="1:12" x14ac:dyDescent="0.3">
      <c r="A279" t="s">
        <v>321</v>
      </c>
      <c r="B279" s="7">
        <v>45551</v>
      </c>
      <c r="C279" t="s">
        <v>35</v>
      </c>
      <c r="D279" t="s">
        <v>23</v>
      </c>
      <c r="E279" t="s">
        <v>24</v>
      </c>
      <c r="F279" t="s">
        <v>16</v>
      </c>
      <c r="G279">
        <v>5450000</v>
      </c>
      <c r="H279">
        <v>5450000</v>
      </c>
      <c r="I279" t="s">
        <v>20</v>
      </c>
      <c r="J279" s="7">
        <v>46298</v>
      </c>
      <c r="K279">
        <v>9000000</v>
      </c>
      <c r="L279" t="s">
        <v>52</v>
      </c>
    </row>
    <row r="280" spans="1:12" x14ac:dyDescent="0.3">
      <c r="A280" t="s">
        <v>322</v>
      </c>
      <c r="B280" s="7">
        <v>45472</v>
      </c>
      <c r="C280" t="s">
        <v>13</v>
      </c>
      <c r="D280" t="s">
        <v>23</v>
      </c>
      <c r="E280" t="s">
        <v>24</v>
      </c>
      <c r="F280" t="s">
        <v>33</v>
      </c>
      <c r="G280">
        <v>9000000</v>
      </c>
      <c r="H280">
        <v>9000000</v>
      </c>
      <c r="I280" t="s">
        <v>20</v>
      </c>
      <c r="J280" s="7">
        <v>46340</v>
      </c>
      <c r="K280">
        <v>8500000</v>
      </c>
      <c r="L280" t="s">
        <v>52</v>
      </c>
    </row>
    <row r="281" spans="1:12" x14ac:dyDescent="0.3">
      <c r="A281" t="s">
        <v>323</v>
      </c>
      <c r="B281" s="7">
        <v>45493</v>
      </c>
      <c r="C281" t="s">
        <v>28</v>
      </c>
      <c r="D281" t="s">
        <v>14</v>
      </c>
      <c r="E281" t="s">
        <v>15</v>
      </c>
      <c r="F281" t="s">
        <v>51</v>
      </c>
      <c r="G281">
        <v>9550000</v>
      </c>
      <c r="H281">
        <v>9550000</v>
      </c>
      <c r="I281" t="s">
        <v>26</v>
      </c>
      <c r="J281" s="7">
        <v>45978</v>
      </c>
      <c r="K281">
        <v>7000000</v>
      </c>
      <c r="L281" t="s">
        <v>502</v>
      </c>
    </row>
    <row r="282" spans="1:12" x14ac:dyDescent="0.3">
      <c r="A282" t="s">
        <v>324</v>
      </c>
      <c r="B282" s="7">
        <v>45465</v>
      </c>
      <c r="C282" t="s">
        <v>35</v>
      </c>
      <c r="D282" t="s">
        <v>14</v>
      </c>
      <c r="E282" t="s">
        <v>15</v>
      </c>
      <c r="F282" t="s">
        <v>33</v>
      </c>
      <c r="G282">
        <v>8200000</v>
      </c>
      <c r="H282">
        <v>8200000</v>
      </c>
      <c r="I282" t="s">
        <v>20</v>
      </c>
      <c r="J282" s="7">
        <v>45790</v>
      </c>
      <c r="K282">
        <v>9000000</v>
      </c>
      <c r="L282" t="s">
        <v>42</v>
      </c>
    </row>
    <row r="283" spans="1:12" x14ac:dyDescent="0.3">
      <c r="A283" t="s">
        <v>325</v>
      </c>
      <c r="B283" s="7">
        <v>45645</v>
      </c>
      <c r="C283" t="s">
        <v>31</v>
      </c>
      <c r="D283" t="s">
        <v>23</v>
      </c>
      <c r="E283" t="s">
        <v>24</v>
      </c>
      <c r="F283" t="s">
        <v>51</v>
      </c>
      <c r="G283">
        <v>10000000</v>
      </c>
      <c r="H283">
        <v>0</v>
      </c>
      <c r="I283" t="s">
        <v>17</v>
      </c>
      <c r="J283" s="7">
        <v>45966</v>
      </c>
      <c r="K283">
        <v>7500000</v>
      </c>
      <c r="L283" t="s">
        <v>502</v>
      </c>
    </row>
    <row r="284" spans="1:12" x14ac:dyDescent="0.3">
      <c r="A284" t="s">
        <v>326</v>
      </c>
      <c r="B284" s="7">
        <v>45368</v>
      </c>
      <c r="C284" t="s">
        <v>13</v>
      </c>
      <c r="D284" t="s">
        <v>23</v>
      </c>
      <c r="E284" t="s">
        <v>24</v>
      </c>
      <c r="F284" t="s">
        <v>16</v>
      </c>
      <c r="G284">
        <v>5150000</v>
      </c>
      <c r="H284">
        <v>1100000</v>
      </c>
      <c r="I284" t="s">
        <v>26</v>
      </c>
      <c r="J284" s="7">
        <v>45877</v>
      </c>
      <c r="K284">
        <v>8500000</v>
      </c>
      <c r="L284" t="s">
        <v>29</v>
      </c>
    </row>
    <row r="285" spans="1:12" x14ac:dyDescent="0.3">
      <c r="A285" t="s">
        <v>327</v>
      </c>
      <c r="B285" s="7">
        <v>45485</v>
      </c>
      <c r="C285" t="s">
        <v>28</v>
      </c>
      <c r="D285" t="s">
        <v>14</v>
      </c>
      <c r="E285" t="s">
        <v>15</v>
      </c>
      <c r="F285" t="s">
        <v>33</v>
      </c>
      <c r="G285">
        <v>7200000</v>
      </c>
      <c r="H285">
        <v>7200000</v>
      </c>
      <c r="I285" t="s">
        <v>20</v>
      </c>
      <c r="J285" s="7">
        <v>46176</v>
      </c>
      <c r="K285">
        <v>7000000</v>
      </c>
      <c r="L285" t="s">
        <v>502</v>
      </c>
    </row>
    <row r="286" spans="1:12" x14ac:dyDescent="0.3">
      <c r="A286" t="s">
        <v>328</v>
      </c>
      <c r="B286" s="7">
        <v>45480</v>
      </c>
      <c r="C286" t="s">
        <v>35</v>
      </c>
      <c r="D286" t="s">
        <v>23</v>
      </c>
      <c r="E286" t="s">
        <v>24</v>
      </c>
      <c r="F286" t="s">
        <v>33</v>
      </c>
      <c r="G286">
        <v>7800000</v>
      </c>
      <c r="H286">
        <v>0</v>
      </c>
      <c r="I286" t="s">
        <v>17</v>
      </c>
      <c r="J286" s="7">
        <v>46364</v>
      </c>
      <c r="K286">
        <v>9000000</v>
      </c>
      <c r="L286" t="s">
        <v>42</v>
      </c>
    </row>
    <row r="287" spans="1:12" x14ac:dyDescent="0.3">
      <c r="A287" t="s">
        <v>329</v>
      </c>
      <c r="B287" s="7">
        <v>45339</v>
      </c>
      <c r="C287" t="s">
        <v>13</v>
      </c>
      <c r="D287" t="s">
        <v>14</v>
      </c>
      <c r="E287" t="s">
        <v>15</v>
      </c>
      <c r="F287" t="s">
        <v>16</v>
      </c>
      <c r="G287">
        <v>4650000</v>
      </c>
      <c r="H287">
        <v>4650000</v>
      </c>
      <c r="I287" t="s">
        <v>20</v>
      </c>
      <c r="J287" s="7">
        <v>45738</v>
      </c>
      <c r="K287">
        <v>8500000</v>
      </c>
      <c r="L287" t="s">
        <v>40</v>
      </c>
    </row>
    <row r="288" spans="1:12" x14ac:dyDescent="0.3">
      <c r="A288" t="s">
        <v>330</v>
      </c>
      <c r="B288" s="7">
        <v>45619</v>
      </c>
      <c r="C288" t="s">
        <v>28</v>
      </c>
      <c r="D288" t="s">
        <v>14</v>
      </c>
      <c r="E288" t="s">
        <v>15</v>
      </c>
      <c r="F288" t="s">
        <v>51</v>
      </c>
      <c r="G288">
        <v>13700000</v>
      </c>
      <c r="H288">
        <v>3550000</v>
      </c>
      <c r="I288" t="s">
        <v>26</v>
      </c>
      <c r="J288" s="7">
        <v>46446</v>
      </c>
      <c r="K288">
        <v>7000000</v>
      </c>
      <c r="L288" t="s">
        <v>502</v>
      </c>
    </row>
    <row r="289" spans="1:12" x14ac:dyDescent="0.3">
      <c r="A289" t="s">
        <v>331</v>
      </c>
      <c r="B289" s="7">
        <v>45513</v>
      </c>
      <c r="C289" t="s">
        <v>28</v>
      </c>
      <c r="D289" t="s">
        <v>14</v>
      </c>
      <c r="E289" t="s">
        <v>15</v>
      </c>
      <c r="F289" t="s">
        <v>51</v>
      </c>
      <c r="G289">
        <v>10550000</v>
      </c>
      <c r="H289">
        <v>1550000</v>
      </c>
      <c r="I289" t="s">
        <v>26</v>
      </c>
      <c r="J289" s="7">
        <v>45861</v>
      </c>
      <c r="K289">
        <v>7000000</v>
      </c>
      <c r="L289" t="s">
        <v>52</v>
      </c>
    </row>
    <row r="290" spans="1:12" x14ac:dyDescent="0.3">
      <c r="A290" t="s">
        <v>332</v>
      </c>
      <c r="B290" s="7">
        <v>45540</v>
      </c>
      <c r="C290" t="s">
        <v>31</v>
      </c>
      <c r="D290" t="s">
        <v>23</v>
      </c>
      <c r="E290" t="s">
        <v>24</v>
      </c>
      <c r="F290" t="s">
        <v>33</v>
      </c>
      <c r="G290">
        <v>8600000</v>
      </c>
      <c r="H290">
        <v>0</v>
      </c>
      <c r="I290" t="s">
        <v>17</v>
      </c>
      <c r="J290" s="7">
        <v>46226</v>
      </c>
      <c r="K290">
        <v>7500000</v>
      </c>
      <c r="L290" t="s">
        <v>502</v>
      </c>
    </row>
    <row r="291" spans="1:12" x14ac:dyDescent="0.3">
      <c r="A291" t="s">
        <v>333</v>
      </c>
      <c r="B291" s="7">
        <v>45458</v>
      </c>
      <c r="C291" t="s">
        <v>28</v>
      </c>
      <c r="D291" t="s">
        <v>14</v>
      </c>
      <c r="E291" t="s">
        <v>15</v>
      </c>
      <c r="F291" t="s">
        <v>16</v>
      </c>
      <c r="G291">
        <v>4350000</v>
      </c>
      <c r="H291">
        <v>500000</v>
      </c>
      <c r="I291" t="s">
        <v>26</v>
      </c>
      <c r="J291" s="7">
        <v>45721</v>
      </c>
      <c r="K291">
        <v>7000000</v>
      </c>
      <c r="L291" t="s">
        <v>18</v>
      </c>
    </row>
    <row r="292" spans="1:12" x14ac:dyDescent="0.3">
      <c r="A292" t="s">
        <v>334</v>
      </c>
      <c r="B292" s="7">
        <v>45638</v>
      </c>
      <c r="C292" t="s">
        <v>13</v>
      </c>
      <c r="D292" t="s">
        <v>44</v>
      </c>
      <c r="E292" t="s">
        <v>45</v>
      </c>
      <c r="F292" t="s">
        <v>16</v>
      </c>
      <c r="G292">
        <v>4200000</v>
      </c>
      <c r="H292">
        <v>450000</v>
      </c>
      <c r="I292" t="s">
        <v>26</v>
      </c>
      <c r="J292" s="7">
        <v>46367</v>
      </c>
      <c r="K292">
        <v>8500000</v>
      </c>
      <c r="L292" t="s">
        <v>38</v>
      </c>
    </row>
    <row r="293" spans="1:12" x14ac:dyDescent="0.3">
      <c r="A293" t="s">
        <v>335</v>
      </c>
      <c r="B293" s="7">
        <v>45343</v>
      </c>
      <c r="C293" t="s">
        <v>13</v>
      </c>
      <c r="D293" t="s">
        <v>23</v>
      </c>
      <c r="E293" t="s">
        <v>24</v>
      </c>
      <c r="F293" t="s">
        <v>25</v>
      </c>
      <c r="G293">
        <v>3250000</v>
      </c>
      <c r="H293">
        <v>3250000</v>
      </c>
      <c r="I293" t="s">
        <v>20</v>
      </c>
      <c r="J293" s="7">
        <v>45942</v>
      </c>
      <c r="K293">
        <v>8500000</v>
      </c>
      <c r="L293" t="s">
        <v>52</v>
      </c>
    </row>
    <row r="294" spans="1:12" x14ac:dyDescent="0.3">
      <c r="A294" t="s">
        <v>336</v>
      </c>
      <c r="B294" s="7">
        <v>45453</v>
      </c>
      <c r="C294" t="s">
        <v>22</v>
      </c>
      <c r="D294" t="s">
        <v>44</v>
      </c>
      <c r="E294" t="s">
        <v>45</v>
      </c>
      <c r="F294" t="s">
        <v>16</v>
      </c>
      <c r="G294">
        <v>5600000</v>
      </c>
      <c r="H294">
        <v>0</v>
      </c>
      <c r="I294" t="s">
        <v>17</v>
      </c>
      <c r="J294" s="7">
        <v>46040</v>
      </c>
      <c r="K294">
        <v>8000000</v>
      </c>
      <c r="L294" t="s">
        <v>38</v>
      </c>
    </row>
    <row r="295" spans="1:12" x14ac:dyDescent="0.3">
      <c r="A295" t="s">
        <v>337</v>
      </c>
      <c r="B295" s="7">
        <v>45366</v>
      </c>
      <c r="C295" t="s">
        <v>35</v>
      </c>
      <c r="D295" t="s">
        <v>44</v>
      </c>
      <c r="E295" t="s">
        <v>45</v>
      </c>
      <c r="F295" t="s">
        <v>16</v>
      </c>
      <c r="G295">
        <v>5050000</v>
      </c>
      <c r="H295">
        <v>5050000</v>
      </c>
      <c r="I295" t="s">
        <v>20</v>
      </c>
      <c r="J295" s="7">
        <v>46137</v>
      </c>
      <c r="K295">
        <v>9000000</v>
      </c>
      <c r="L295" t="s">
        <v>18</v>
      </c>
    </row>
    <row r="296" spans="1:12" x14ac:dyDescent="0.3">
      <c r="A296" t="s">
        <v>338</v>
      </c>
      <c r="B296" s="7">
        <v>45306</v>
      </c>
      <c r="C296" t="s">
        <v>13</v>
      </c>
      <c r="D296" t="s">
        <v>23</v>
      </c>
      <c r="E296" t="s">
        <v>24</v>
      </c>
      <c r="F296" t="s">
        <v>33</v>
      </c>
      <c r="G296">
        <v>7200000</v>
      </c>
      <c r="H296">
        <v>2700000</v>
      </c>
      <c r="I296" t="s">
        <v>26</v>
      </c>
      <c r="J296" s="7">
        <v>46123</v>
      </c>
      <c r="K296">
        <v>8500000</v>
      </c>
      <c r="L296" t="s">
        <v>502</v>
      </c>
    </row>
    <row r="297" spans="1:12" x14ac:dyDescent="0.3">
      <c r="A297" t="s">
        <v>339</v>
      </c>
      <c r="B297" s="7">
        <v>45580</v>
      </c>
      <c r="C297" t="s">
        <v>13</v>
      </c>
      <c r="D297" t="s">
        <v>23</v>
      </c>
      <c r="E297" t="s">
        <v>24</v>
      </c>
      <c r="F297" t="s">
        <v>51</v>
      </c>
      <c r="G297">
        <v>13100000</v>
      </c>
      <c r="H297">
        <v>13100000</v>
      </c>
      <c r="I297" t="s">
        <v>20</v>
      </c>
      <c r="J297" s="7">
        <v>45770</v>
      </c>
      <c r="K297">
        <v>8500000</v>
      </c>
      <c r="L297" t="s">
        <v>38</v>
      </c>
    </row>
    <row r="298" spans="1:12" x14ac:dyDescent="0.3">
      <c r="A298" t="s">
        <v>340</v>
      </c>
      <c r="B298" s="7">
        <v>45339</v>
      </c>
      <c r="C298" t="s">
        <v>13</v>
      </c>
      <c r="D298" t="s">
        <v>23</v>
      </c>
      <c r="E298" t="s">
        <v>24</v>
      </c>
      <c r="F298" t="s">
        <v>33</v>
      </c>
      <c r="G298">
        <v>7600000</v>
      </c>
      <c r="H298">
        <v>7600000</v>
      </c>
      <c r="I298" t="s">
        <v>20</v>
      </c>
      <c r="J298" s="7">
        <v>45989</v>
      </c>
      <c r="K298">
        <v>8500000</v>
      </c>
      <c r="L298" t="s">
        <v>502</v>
      </c>
    </row>
    <row r="299" spans="1:12" x14ac:dyDescent="0.3">
      <c r="A299" t="s">
        <v>341</v>
      </c>
      <c r="B299" s="7">
        <v>45413</v>
      </c>
      <c r="C299" t="s">
        <v>35</v>
      </c>
      <c r="D299" t="s">
        <v>23</v>
      </c>
      <c r="E299" t="s">
        <v>24</v>
      </c>
      <c r="F299" t="s">
        <v>51</v>
      </c>
      <c r="G299">
        <v>12800000</v>
      </c>
      <c r="H299">
        <v>0</v>
      </c>
      <c r="I299" t="s">
        <v>17</v>
      </c>
      <c r="J299" s="7">
        <v>45927</v>
      </c>
      <c r="K299">
        <v>9000000</v>
      </c>
      <c r="L299" t="s">
        <v>40</v>
      </c>
    </row>
    <row r="300" spans="1:12" x14ac:dyDescent="0.3">
      <c r="A300" t="s">
        <v>342</v>
      </c>
      <c r="B300" s="7">
        <v>45636</v>
      </c>
      <c r="C300" t="s">
        <v>35</v>
      </c>
      <c r="D300" t="s">
        <v>23</v>
      </c>
      <c r="E300" t="s">
        <v>24</v>
      </c>
      <c r="F300" t="s">
        <v>16</v>
      </c>
      <c r="G300">
        <v>5700000</v>
      </c>
      <c r="H300">
        <v>5700000</v>
      </c>
      <c r="I300" t="s">
        <v>20</v>
      </c>
      <c r="J300" s="7">
        <v>46039</v>
      </c>
      <c r="K300">
        <v>9000000</v>
      </c>
      <c r="L300" t="s">
        <v>38</v>
      </c>
    </row>
    <row r="301" spans="1:12" x14ac:dyDescent="0.3">
      <c r="A301" t="s">
        <v>343</v>
      </c>
      <c r="B301" s="7">
        <v>45425</v>
      </c>
      <c r="C301" t="s">
        <v>13</v>
      </c>
      <c r="D301" t="s">
        <v>23</v>
      </c>
      <c r="E301" t="s">
        <v>24</v>
      </c>
      <c r="F301" t="s">
        <v>33</v>
      </c>
      <c r="G301">
        <v>8550000</v>
      </c>
      <c r="H301">
        <v>8550000</v>
      </c>
      <c r="I301" t="s">
        <v>20</v>
      </c>
      <c r="J301" s="7">
        <v>45730</v>
      </c>
      <c r="K301">
        <v>8500000</v>
      </c>
      <c r="L301" t="s">
        <v>52</v>
      </c>
    </row>
    <row r="302" spans="1:12" x14ac:dyDescent="0.3">
      <c r="A302" t="s">
        <v>344</v>
      </c>
      <c r="B302" s="7">
        <v>45353</v>
      </c>
      <c r="C302" t="s">
        <v>22</v>
      </c>
      <c r="D302" t="s">
        <v>44</v>
      </c>
      <c r="E302" t="s">
        <v>45</v>
      </c>
      <c r="F302" t="s">
        <v>25</v>
      </c>
      <c r="G302">
        <v>2650000</v>
      </c>
      <c r="H302">
        <v>1000000</v>
      </c>
      <c r="I302" t="s">
        <v>26</v>
      </c>
      <c r="J302" s="7">
        <v>46068</v>
      </c>
      <c r="K302">
        <v>8000000</v>
      </c>
      <c r="L302" t="s">
        <v>502</v>
      </c>
    </row>
    <row r="303" spans="1:12" x14ac:dyDescent="0.3">
      <c r="A303" t="s">
        <v>345</v>
      </c>
      <c r="B303" s="7">
        <v>45573</v>
      </c>
      <c r="C303" t="s">
        <v>31</v>
      </c>
      <c r="D303" t="s">
        <v>23</v>
      </c>
      <c r="E303" t="s">
        <v>24</v>
      </c>
      <c r="F303" t="s">
        <v>33</v>
      </c>
      <c r="G303">
        <v>8550000</v>
      </c>
      <c r="H303">
        <v>8550000</v>
      </c>
      <c r="I303" t="s">
        <v>20</v>
      </c>
      <c r="J303" s="7">
        <v>45782</v>
      </c>
      <c r="K303">
        <v>7500000</v>
      </c>
      <c r="L303" t="s">
        <v>29</v>
      </c>
    </row>
    <row r="304" spans="1:12" x14ac:dyDescent="0.3">
      <c r="A304" t="s">
        <v>346</v>
      </c>
      <c r="B304" s="7">
        <v>45330</v>
      </c>
      <c r="C304" t="s">
        <v>13</v>
      </c>
      <c r="D304" t="s">
        <v>23</v>
      </c>
      <c r="E304" t="s">
        <v>24</v>
      </c>
      <c r="F304" t="s">
        <v>16</v>
      </c>
      <c r="G304">
        <v>5300000</v>
      </c>
      <c r="H304">
        <v>0</v>
      </c>
      <c r="I304" t="s">
        <v>17</v>
      </c>
      <c r="J304" s="7">
        <v>45917</v>
      </c>
      <c r="K304">
        <v>8500000</v>
      </c>
      <c r="L304" t="s">
        <v>38</v>
      </c>
    </row>
    <row r="305" spans="1:12" x14ac:dyDescent="0.3">
      <c r="A305" t="s">
        <v>347</v>
      </c>
      <c r="B305" s="7">
        <v>45653</v>
      </c>
      <c r="C305" t="s">
        <v>13</v>
      </c>
      <c r="D305" t="s">
        <v>14</v>
      </c>
      <c r="E305" t="s">
        <v>15</v>
      </c>
      <c r="F305" t="s">
        <v>16</v>
      </c>
      <c r="G305">
        <v>4100000</v>
      </c>
      <c r="H305">
        <v>4100000</v>
      </c>
      <c r="I305" t="s">
        <v>20</v>
      </c>
      <c r="J305" s="7">
        <v>46347</v>
      </c>
      <c r="K305">
        <v>8500000</v>
      </c>
      <c r="L305" t="s">
        <v>40</v>
      </c>
    </row>
    <row r="306" spans="1:12" x14ac:dyDescent="0.3">
      <c r="A306" t="s">
        <v>348</v>
      </c>
      <c r="B306" s="7">
        <v>45598</v>
      </c>
      <c r="C306" t="s">
        <v>28</v>
      </c>
      <c r="D306" t="s">
        <v>14</v>
      </c>
      <c r="E306" t="s">
        <v>15</v>
      </c>
      <c r="F306" t="s">
        <v>51</v>
      </c>
      <c r="G306">
        <v>10100000</v>
      </c>
      <c r="H306">
        <v>10100000</v>
      </c>
      <c r="I306" t="s">
        <v>20</v>
      </c>
      <c r="J306" s="7">
        <v>46202</v>
      </c>
      <c r="K306">
        <v>7000000</v>
      </c>
      <c r="L306" t="s">
        <v>40</v>
      </c>
    </row>
    <row r="307" spans="1:12" x14ac:dyDescent="0.3">
      <c r="A307" t="s">
        <v>349</v>
      </c>
      <c r="B307" s="7">
        <v>45465</v>
      </c>
      <c r="C307" t="s">
        <v>28</v>
      </c>
      <c r="D307" t="s">
        <v>23</v>
      </c>
      <c r="E307" t="s">
        <v>24</v>
      </c>
      <c r="F307" t="s">
        <v>33</v>
      </c>
      <c r="G307">
        <v>6650000</v>
      </c>
      <c r="H307">
        <v>2550000</v>
      </c>
      <c r="I307" t="s">
        <v>26</v>
      </c>
      <c r="J307" s="7">
        <v>45813</v>
      </c>
      <c r="K307">
        <v>7000000</v>
      </c>
      <c r="L307" t="s">
        <v>502</v>
      </c>
    </row>
    <row r="308" spans="1:12" x14ac:dyDescent="0.3">
      <c r="A308" t="s">
        <v>350</v>
      </c>
      <c r="B308" s="7">
        <v>45595</v>
      </c>
      <c r="C308" t="s">
        <v>28</v>
      </c>
      <c r="D308" t="s">
        <v>14</v>
      </c>
      <c r="E308" t="s">
        <v>15</v>
      </c>
      <c r="F308" t="s">
        <v>33</v>
      </c>
      <c r="G308">
        <v>8450000</v>
      </c>
      <c r="H308">
        <v>0</v>
      </c>
      <c r="I308" t="s">
        <v>17</v>
      </c>
      <c r="J308" s="7">
        <v>45989</v>
      </c>
      <c r="K308">
        <v>7000000</v>
      </c>
      <c r="L308" t="s">
        <v>502</v>
      </c>
    </row>
    <row r="309" spans="1:12" x14ac:dyDescent="0.3">
      <c r="A309" t="s">
        <v>351</v>
      </c>
      <c r="B309" s="7">
        <v>45582</v>
      </c>
      <c r="C309" t="s">
        <v>22</v>
      </c>
      <c r="D309" t="s">
        <v>23</v>
      </c>
      <c r="E309" t="s">
        <v>24</v>
      </c>
      <c r="F309" t="s">
        <v>51</v>
      </c>
      <c r="G309">
        <v>11350000</v>
      </c>
      <c r="H309">
        <v>0</v>
      </c>
      <c r="I309" t="s">
        <v>17</v>
      </c>
      <c r="J309" s="7">
        <v>46341</v>
      </c>
      <c r="K309">
        <v>8000000</v>
      </c>
      <c r="L309" t="s">
        <v>38</v>
      </c>
    </row>
    <row r="310" spans="1:12" x14ac:dyDescent="0.3">
      <c r="A310" t="s">
        <v>352</v>
      </c>
      <c r="B310" s="7">
        <v>45571</v>
      </c>
      <c r="C310" t="s">
        <v>35</v>
      </c>
      <c r="D310" t="s">
        <v>14</v>
      </c>
      <c r="E310" t="s">
        <v>15</v>
      </c>
      <c r="F310" t="s">
        <v>51</v>
      </c>
      <c r="G310">
        <v>13400000</v>
      </c>
      <c r="H310">
        <v>0</v>
      </c>
      <c r="I310" t="s">
        <v>17</v>
      </c>
      <c r="J310" s="7">
        <v>46241</v>
      </c>
      <c r="K310">
        <v>9000000</v>
      </c>
      <c r="L310" t="s">
        <v>52</v>
      </c>
    </row>
    <row r="311" spans="1:12" x14ac:dyDescent="0.3">
      <c r="A311" t="s">
        <v>353</v>
      </c>
      <c r="B311" s="7">
        <v>45613</v>
      </c>
      <c r="C311" t="s">
        <v>13</v>
      </c>
      <c r="D311" t="s">
        <v>14</v>
      </c>
      <c r="E311" t="s">
        <v>15</v>
      </c>
      <c r="F311" t="s">
        <v>33</v>
      </c>
      <c r="G311">
        <v>6900000</v>
      </c>
      <c r="H311">
        <v>1750000</v>
      </c>
      <c r="I311" t="s">
        <v>26</v>
      </c>
      <c r="J311" s="7">
        <v>46077</v>
      </c>
      <c r="K311">
        <v>8500000</v>
      </c>
      <c r="L311" t="s">
        <v>40</v>
      </c>
    </row>
    <row r="312" spans="1:12" x14ac:dyDescent="0.3">
      <c r="A312" t="s">
        <v>354</v>
      </c>
      <c r="B312" s="7">
        <v>45432</v>
      </c>
      <c r="C312" t="s">
        <v>28</v>
      </c>
      <c r="D312" t="s">
        <v>23</v>
      </c>
      <c r="E312" t="s">
        <v>24</v>
      </c>
      <c r="F312" t="s">
        <v>16</v>
      </c>
      <c r="G312">
        <v>5250000</v>
      </c>
      <c r="H312">
        <v>1000000</v>
      </c>
      <c r="I312" t="s">
        <v>26</v>
      </c>
      <c r="J312" s="7">
        <v>46129</v>
      </c>
      <c r="K312">
        <v>7000000</v>
      </c>
      <c r="L312" t="s">
        <v>502</v>
      </c>
    </row>
    <row r="313" spans="1:12" x14ac:dyDescent="0.3">
      <c r="A313" t="s">
        <v>355</v>
      </c>
      <c r="B313" s="7">
        <v>45471</v>
      </c>
      <c r="C313" t="s">
        <v>35</v>
      </c>
      <c r="D313" t="s">
        <v>14</v>
      </c>
      <c r="E313" t="s">
        <v>15</v>
      </c>
      <c r="F313" t="s">
        <v>16</v>
      </c>
      <c r="G313">
        <v>4050000</v>
      </c>
      <c r="H313">
        <v>0</v>
      </c>
      <c r="I313" t="s">
        <v>17</v>
      </c>
      <c r="J313" s="7">
        <v>45848</v>
      </c>
      <c r="K313">
        <v>9000000</v>
      </c>
      <c r="L313" t="s">
        <v>502</v>
      </c>
    </row>
    <row r="314" spans="1:12" x14ac:dyDescent="0.3">
      <c r="A314" t="s">
        <v>356</v>
      </c>
      <c r="B314" s="7">
        <v>45650</v>
      </c>
      <c r="C314" t="s">
        <v>35</v>
      </c>
      <c r="D314" t="s">
        <v>14</v>
      </c>
      <c r="E314" t="s">
        <v>15</v>
      </c>
      <c r="F314" t="s">
        <v>16</v>
      </c>
      <c r="G314">
        <v>4100000</v>
      </c>
      <c r="H314">
        <v>4100000</v>
      </c>
      <c r="I314" t="s">
        <v>20</v>
      </c>
      <c r="J314" s="7">
        <v>46141</v>
      </c>
      <c r="K314">
        <v>9000000</v>
      </c>
      <c r="L314" t="s">
        <v>502</v>
      </c>
    </row>
    <row r="315" spans="1:12" x14ac:dyDescent="0.3">
      <c r="A315" t="s">
        <v>358</v>
      </c>
      <c r="B315" s="7">
        <v>45405</v>
      </c>
      <c r="C315" t="s">
        <v>13</v>
      </c>
      <c r="D315" t="s">
        <v>23</v>
      </c>
      <c r="E315" t="s">
        <v>24</v>
      </c>
      <c r="F315" t="s">
        <v>33</v>
      </c>
      <c r="G315">
        <v>8950000</v>
      </c>
      <c r="H315">
        <v>8950000</v>
      </c>
      <c r="I315" t="s">
        <v>20</v>
      </c>
      <c r="J315" s="7">
        <v>46069</v>
      </c>
      <c r="K315">
        <v>8500000</v>
      </c>
      <c r="L315" t="s">
        <v>502</v>
      </c>
    </row>
    <row r="316" spans="1:12" x14ac:dyDescent="0.3">
      <c r="A316" t="s">
        <v>359</v>
      </c>
      <c r="B316" s="7">
        <v>45503</v>
      </c>
      <c r="C316" t="s">
        <v>13</v>
      </c>
      <c r="D316" t="s">
        <v>23</v>
      </c>
      <c r="E316" t="s">
        <v>24</v>
      </c>
      <c r="F316" t="s">
        <v>33</v>
      </c>
      <c r="G316">
        <v>8050000</v>
      </c>
      <c r="H316">
        <v>8050000</v>
      </c>
      <c r="I316" t="s">
        <v>20</v>
      </c>
      <c r="J316" s="7">
        <v>46173</v>
      </c>
      <c r="K316">
        <v>8500000</v>
      </c>
      <c r="L316" t="s">
        <v>29</v>
      </c>
    </row>
    <row r="317" spans="1:12" x14ac:dyDescent="0.3">
      <c r="A317" t="s">
        <v>360</v>
      </c>
      <c r="B317" s="7">
        <v>45540</v>
      </c>
      <c r="C317" t="s">
        <v>31</v>
      </c>
      <c r="D317" t="s">
        <v>14</v>
      </c>
      <c r="E317" t="s">
        <v>15</v>
      </c>
      <c r="F317" t="s">
        <v>16</v>
      </c>
      <c r="G317">
        <v>4150000</v>
      </c>
      <c r="H317">
        <v>4150000</v>
      </c>
      <c r="I317" t="s">
        <v>20</v>
      </c>
      <c r="J317" s="7">
        <v>45823</v>
      </c>
      <c r="K317">
        <v>7500000</v>
      </c>
      <c r="L317" t="s">
        <v>502</v>
      </c>
    </row>
    <row r="318" spans="1:12" x14ac:dyDescent="0.3">
      <c r="A318" t="s">
        <v>361</v>
      </c>
      <c r="B318" s="7">
        <v>45532</v>
      </c>
      <c r="C318" t="s">
        <v>35</v>
      </c>
      <c r="D318" t="s">
        <v>23</v>
      </c>
      <c r="E318" t="s">
        <v>24</v>
      </c>
      <c r="F318" t="s">
        <v>16</v>
      </c>
      <c r="G318">
        <v>4850000</v>
      </c>
      <c r="H318">
        <v>4850000</v>
      </c>
      <c r="I318" t="s">
        <v>26</v>
      </c>
      <c r="J318" s="7">
        <v>46288</v>
      </c>
      <c r="K318">
        <v>9000000</v>
      </c>
      <c r="L318" t="s">
        <v>29</v>
      </c>
    </row>
    <row r="319" spans="1:12" x14ac:dyDescent="0.3">
      <c r="A319" t="s">
        <v>362</v>
      </c>
      <c r="B319" s="7">
        <v>45370</v>
      </c>
      <c r="C319" t="s">
        <v>13</v>
      </c>
      <c r="D319" t="s">
        <v>44</v>
      </c>
      <c r="E319" t="s">
        <v>45</v>
      </c>
      <c r="F319" t="s">
        <v>16</v>
      </c>
      <c r="G319">
        <v>4850000</v>
      </c>
      <c r="H319">
        <v>0</v>
      </c>
      <c r="I319" t="s">
        <v>17</v>
      </c>
      <c r="J319" s="7">
        <v>46112</v>
      </c>
      <c r="K319">
        <v>8500000</v>
      </c>
      <c r="L319" t="s">
        <v>502</v>
      </c>
    </row>
    <row r="320" spans="1:12" x14ac:dyDescent="0.3">
      <c r="A320" t="s">
        <v>363</v>
      </c>
      <c r="B320" s="7">
        <v>45353</v>
      </c>
      <c r="C320" t="s">
        <v>22</v>
      </c>
      <c r="D320" t="s">
        <v>44</v>
      </c>
      <c r="E320" t="s">
        <v>45</v>
      </c>
      <c r="F320" t="s">
        <v>25</v>
      </c>
      <c r="G320">
        <v>2650000</v>
      </c>
      <c r="H320">
        <v>1000000</v>
      </c>
      <c r="I320" t="s">
        <v>26</v>
      </c>
      <c r="J320" s="7">
        <v>46068</v>
      </c>
      <c r="K320">
        <v>8000000</v>
      </c>
      <c r="L320" t="s">
        <v>502</v>
      </c>
    </row>
    <row r="321" spans="1:12" x14ac:dyDescent="0.3">
      <c r="A321" t="s">
        <v>364</v>
      </c>
      <c r="B321" s="7">
        <v>45543</v>
      </c>
      <c r="C321" t="s">
        <v>22</v>
      </c>
      <c r="D321" t="s">
        <v>14</v>
      </c>
      <c r="E321" t="s">
        <v>15</v>
      </c>
      <c r="F321" t="s">
        <v>16</v>
      </c>
      <c r="G321">
        <v>4300000</v>
      </c>
      <c r="H321">
        <v>1650000</v>
      </c>
      <c r="I321" t="s">
        <v>26</v>
      </c>
      <c r="J321" s="7">
        <v>45810</v>
      </c>
      <c r="K321">
        <v>8000000</v>
      </c>
      <c r="L321" t="s">
        <v>29</v>
      </c>
    </row>
    <row r="322" spans="1:12" x14ac:dyDescent="0.3">
      <c r="A322" t="s">
        <v>365</v>
      </c>
      <c r="B322" s="7">
        <v>45438</v>
      </c>
      <c r="C322" t="s">
        <v>28</v>
      </c>
      <c r="D322" t="s">
        <v>14</v>
      </c>
      <c r="E322" t="s">
        <v>15</v>
      </c>
      <c r="F322" t="s">
        <v>16</v>
      </c>
      <c r="G322">
        <v>4300000</v>
      </c>
      <c r="H322">
        <v>4300000</v>
      </c>
      <c r="I322" t="s">
        <v>20</v>
      </c>
      <c r="J322" s="7">
        <v>45992</v>
      </c>
      <c r="K322">
        <v>7000000</v>
      </c>
      <c r="L322" t="s">
        <v>502</v>
      </c>
    </row>
    <row r="323" spans="1:12" x14ac:dyDescent="0.3">
      <c r="A323" t="s">
        <v>366</v>
      </c>
      <c r="B323" s="7">
        <v>45577</v>
      </c>
      <c r="C323" t="s">
        <v>28</v>
      </c>
      <c r="D323" t="s">
        <v>14</v>
      </c>
      <c r="E323" t="s">
        <v>15</v>
      </c>
      <c r="F323" t="s">
        <v>25</v>
      </c>
      <c r="G323">
        <v>2600000</v>
      </c>
      <c r="H323">
        <v>2600000</v>
      </c>
      <c r="I323" t="s">
        <v>20</v>
      </c>
      <c r="J323" s="7">
        <v>46324</v>
      </c>
      <c r="K323">
        <v>7000000</v>
      </c>
      <c r="L323" t="s">
        <v>38</v>
      </c>
    </row>
    <row r="324" spans="1:12" x14ac:dyDescent="0.3">
      <c r="A324" t="s">
        <v>367</v>
      </c>
      <c r="B324" s="7">
        <v>45463</v>
      </c>
      <c r="C324" t="s">
        <v>35</v>
      </c>
      <c r="D324" t="s">
        <v>23</v>
      </c>
      <c r="E324" t="s">
        <v>24</v>
      </c>
      <c r="F324" t="s">
        <v>16</v>
      </c>
      <c r="G324">
        <v>5800000</v>
      </c>
      <c r="H324">
        <v>1400000</v>
      </c>
      <c r="I324" t="s">
        <v>26</v>
      </c>
      <c r="J324" s="7">
        <v>45840</v>
      </c>
      <c r="K324">
        <v>9000000</v>
      </c>
      <c r="L324" t="s">
        <v>38</v>
      </c>
    </row>
    <row r="325" spans="1:12" x14ac:dyDescent="0.3">
      <c r="A325" t="s">
        <v>368</v>
      </c>
      <c r="B325" s="7">
        <v>45523</v>
      </c>
      <c r="C325" t="s">
        <v>35</v>
      </c>
      <c r="D325" t="s">
        <v>14</v>
      </c>
      <c r="E325" t="s">
        <v>15</v>
      </c>
      <c r="F325" t="s">
        <v>16</v>
      </c>
      <c r="G325">
        <v>5650000</v>
      </c>
      <c r="H325">
        <v>750000</v>
      </c>
      <c r="I325" t="s">
        <v>26</v>
      </c>
      <c r="J325" s="7">
        <v>45811</v>
      </c>
      <c r="K325">
        <v>9000000</v>
      </c>
      <c r="L325" t="s">
        <v>52</v>
      </c>
    </row>
    <row r="326" spans="1:12" x14ac:dyDescent="0.3">
      <c r="A326" t="s">
        <v>369</v>
      </c>
      <c r="B326" s="7">
        <v>45539</v>
      </c>
      <c r="C326" t="s">
        <v>22</v>
      </c>
      <c r="D326" t="s">
        <v>23</v>
      </c>
      <c r="E326" t="s">
        <v>24</v>
      </c>
      <c r="F326" t="s">
        <v>33</v>
      </c>
      <c r="G326">
        <v>7750000</v>
      </c>
      <c r="H326">
        <v>0</v>
      </c>
      <c r="I326" t="s">
        <v>17</v>
      </c>
      <c r="J326" s="7">
        <v>46021</v>
      </c>
      <c r="K326">
        <v>8000000</v>
      </c>
      <c r="L326" t="s">
        <v>42</v>
      </c>
    </row>
    <row r="327" spans="1:12" x14ac:dyDescent="0.3">
      <c r="A327" t="s">
        <v>370</v>
      </c>
      <c r="B327" s="7">
        <v>45442</v>
      </c>
      <c r="C327" t="s">
        <v>13</v>
      </c>
      <c r="D327" t="s">
        <v>14</v>
      </c>
      <c r="E327" t="s">
        <v>15</v>
      </c>
      <c r="F327" t="s">
        <v>33</v>
      </c>
      <c r="G327">
        <v>7600000</v>
      </c>
      <c r="H327">
        <v>2500000</v>
      </c>
      <c r="I327" t="s">
        <v>26</v>
      </c>
      <c r="J327" s="7">
        <v>46141</v>
      </c>
      <c r="K327">
        <v>8500000</v>
      </c>
      <c r="L327" t="s">
        <v>38</v>
      </c>
    </row>
    <row r="328" spans="1:12" x14ac:dyDescent="0.3">
      <c r="A328" t="s">
        <v>371</v>
      </c>
      <c r="B328" s="7">
        <v>45431</v>
      </c>
      <c r="C328" t="s">
        <v>35</v>
      </c>
      <c r="D328" t="s">
        <v>14</v>
      </c>
      <c r="E328" t="s">
        <v>15</v>
      </c>
      <c r="F328" t="s">
        <v>16</v>
      </c>
      <c r="G328">
        <v>4300000</v>
      </c>
      <c r="H328">
        <v>4300000</v>
      </c>
      <c r="I328" t="s">
        <v>20</v>
      </c>
      <c r="J328" s="7">
        <v>46003</v>
      </c>
      <c r="K328">
        <v>9000000</v>
      </c>
      <c r="L328" t="s">
        <v>52</v>
      </c>
    </row>
    <row r="329" spans="1:12" x14ac:dyDescent="0.3">
      <c r="A329" t="s">
        <v>372</v>
      </c>
      <c r="B329" s="7">
        <v>45619</v>
      </c>
      <c r="C329" t="s">
        <v>13</v>
      </c>
      <c r="D329" t="s">
        <v>14</v>
      </c>
      <c r="E329" t="s">
        <v>15</v>
      </c>
      <c r="F329" t="s">
        <v>16</v>
      </c>
      <c r="G329">
        <v>5250000</v>
      </c>
      <c r="H329">
        <v>1150000</v>
      </c>
      <c r="I329" t="s">
        <v>26</v>
      </c>
      <c r="J329" s="7">
        <v>46018</v>
      </c>
      <c r="K329">
        <v>8500000</v>
      </c>
      <c r="L329" t="s">
        <v>29</v>
      </c>
    </row>
    <row r="330" spans="1:12" x14ac:dyDescent="0.3">
      <c r="A330" t="s">
        <v>373</v>
      </c>
      <c r="B330" s="7">
        <v>45456</v>
      </c>
      <c r="C330" t="s">
        <v>22</v>
      </c>
      <c r="D330" t="s">
        <v>23</v>
      </c>
      <c r="E330" t="s">
        <v>24</v>
      </c>
      <c r="F330" t="s">
        <v>16</v>
      </c>
      <c r="G330">
        <v>4950000</v>
      </c>
      <c r="H330">
        <v>1550000</v>
      </c>
      <c r="I330" t="s">
        <v>26</v>
      </c>
      <c r="J330" s="7">
        <v>45806</v>
      </c>
      <c r="K330">
        <v>8000000</v>
      </c>
      <c r="L330" t="s">
        <v>502</v>
      </c>
    </row>
    <row r="331" spans="1:12" x14ac:dyDescent="0.3">
      <c r="A331" t="s">
        <v>374</v>
      </c>
      <c r="B331" s="7">
        <v>45567</v>
      </c>
      <c r="C331" t="s">
        <v>31</v>
      </c>
      <c r="D331" t="s">
        <v>44</v>
      </c>
      <c r="E331" t="s">
        <v>45</v>
      </c>
      <c r="F331" t="s">
        <v>51</v>
      </c>
      <c r="G331">
        <v>10200000</v>
      </c>
      <c r="H331">
        <v>2400000</v>
      </c>
      <c r="I331" t="s">
        <v>26</v>
      </c>
      <c r="J331" s="7">
        <v>46467</v>
      </c>
      <c r="K331">
        <v>7500000</v>
      </c>
      <c r="L331" t="s">
        <v>40</v>
      </c>
    </row>
    <row r="332" spans="1:12" x14ac:dyDescent="0.3">
      <c r="A332" t="s">
        <v>375</v>
      </c>
      <c r="B332" s="7">
        <v>45367</v>
      </c>
      <c r="C332" t="s">
        <v>31</v>
      </c>
      <c r="D332" t="s">
        <v>14</v>
      </c>
      <c r="E332" t="s">
        <v>15</v>
      </c>
      <c r="F332" t="s">
        <v>16</v>
      </c>
      <c r="G332">
        <v>4050000</v>
      </c>
      <c r="H332">
        <v>800000</v>
      </c>
      <c r="I332" t="s">
        <v>26</v>
      </c>
      <c r="J332" s="7">
        <v>45702</v>
      </c>
      <c r="K332">
        <v>7500000</v>
      </c>
      <c r="L332" t="s">
        <v>502</v>
      </c>
    </row>
    <row r="333" spans="1:12" x14ac:dyDescent="0.3">
      <c r="A333" t="s">
        <v>376</v>
      </c>
      <c r="B333" s="7">
        <v>45333</v>
      </c>
      <c r="C333" t="s">
        <v>35</v>
      </c>
      <c r="D333" t="s">
        <v>23</v>
      </c>
      <c r="E333" t="s">
        <v>24</v>
      </c>
      <c r="F333" t="s">
        <v>25</v>
      </c>
      <c r="G333">
        <v>3400000</v>
      </c>
      <c r="H333">
        <v>0</v>
      </c>
      <c r="I333" t="s">
        <v>17</v>
      </c>
      <c r="J333" s="7">
        <v>46178</v>
      </c>
      <c r="K333">
        <v>9000000</v>
      </c>
      <c r="L333" t="s">
        <v>40</v>
      </c>
    </row>
    <row r="334" spans="1:12" x14ac:dyDescent="0.3">
      <c r="A334" t="s">
        <v>377</v>
      </c>
      <c r="B334" s="7">
        <v>45630</v>
      </c>
      <c r="C334" t="s">
        <v>22</v>
      </c>
      <c r="D334" t="s">
        <v>23</v>
      </c>
      <c r="E334" t="s">
        <v>24</v>
      </c>
      <c r="F334" t="s">
        <v>51</v>
      </c>
      <c r="G334">
        <v>11500000</v>
      </c>
      <c r="H334">
        <v>2250000</v>
      </c>
      <c r="I334" t="s">
        <v>26</v>
      </c>
      <c r="J334" s="7">
        <v>45988</v>
      </c>
      <c r="K334">
        <v>8000000</v>
      </c>
      <c r="L334" t="s">
        <v>18</v>
      </c>
    </row>
    <row r="335" spans="1:12" x14ac:dyDescent="0.3">
      <c r="A335" t="s">
        <v>378</v>
      </c>
      <c r="B335" s="7">
        <v>45532</v>
      </c>
      <c r="C335" t="s">
        <v>35</v>
      </c>
      <c r="D335" t="s">
        <v>23</v>
      </c>
      <c r="E335" t="s">
        <v>24</v>
      </c>
      <c r="F335" t="s">
        <v>33</v>
      </c>
      <c r="G335">
        <v>6950000</v>
      </c>
      <c r="H335">
        <v>6950000</v>
      </c>
      <c r="I335" t="s">
        <v>20</v>
      </c>
      <c r="J335" s="7">
        <v>46049</v>
      </c>
      <c r="K335">
        <v>9000000</v>
      </c>
      <c r="L335" t="s">
        <v>502</v>
      </c>
    </row>
    <row r="336" spans="1:12" x14ac:dyDescent="0.3">
      <c r="A336" t="s">
        <v>379</v>
      </c>
      <c r="B336" s="7">
        <v>45528</v>
      </c>
      <c r="C336" t="s">
        <v>35</v>
      </c>
      <c r="D336" t="s">
        <v>44</v>
      </c>
      <c r="E336" t="s">
        <v>45</v>
      </c>
      <c r="F336" t="s">
        <v>33</v>
      </c>
      <c r="G336">
        <v>8250000</v>
      </c>
      <c r="H336">
        <v>8250000</v>
      </c>
      <c r="I336" t="s">
        <v>20</v>
      </c>
      <c r="J336" s="7">
        <v>45912</v>
      </c>
      <c r="K336">
        <v>9000000</v>
      </c>
      <c r="L336" t="s">
        <v>52</v>
      </c>
    </row>
    <row r="337" spans="1:12" x14ac:dyDescent="0.3">
      <c r="A337" t="s">
        <v>380</v>
      </c>
      <c r="B337" s="7">
        <v>45381</v>
      </c>
      <c r="C337" t="s">
        <v>22</v>
      </c>
      <c r="D337" t="s">
        <v>23</v>
      </c>
      <c r="E337" t="s">
        <v>24</v>
      </c>
      <c r="F337" t="s">
        <v>33</v>
      </c>
      <c r="G337">
        <v>8800000</v>
      </c>
      <c r="H337">
        <v>8800000</v>
      </c>
      <c r="I337" t="s">
        <v>20</v>
      </c>
      <c r="J337" s="7">
        <v>45657</v>
      </c>
      <c r="K337">
        <v>8000000</v>
      </c>
      <c r="L337" t="s">
        <v>502</v>
      </c>
    </row>
    <row r="338" spans="1:12" x14ac:dyDescent="0.3">
      <c r="A338" t="s">
        <v>381</v>
      </c>
      <c r="B338" s="7">
        <v>45525</v>
      </c>
      <c r="C338" t="s">
        <v>31</v>
      </c>
      <c r="D338" t="s">
        <v>14</v>
      </c>
      <c r="E338" t="s">
        <v>15</v>
      </c>
      <c r="F338" t="s">
        <v>16</v>
      </c>
      <c r="G338">
        <v>5950000</v>
      </c>
      <c r="H338">
        <v>1150000</v>
      </c>
      <c r="I338" t="s">
        <v>26</v>
      </c>
      <c r="J338" s="7">
        <v>46107</v>
      </c>
      <c r="K338">
        <v>7500000</v>
      </c>
      <c r="L338" t="s">
        <v>18</v>
      </c>
    </row>
    <row r="339" spans="1:12" x14ac:dyDescent="0.3">
      <c r="A339" t="s">
        <v>382</v>
      </c>
      <c r="B339" s="7">
        <v>45612</v>
      </c>
      <c r="C339" t="s">
        <v>35</v>
      </c>
      <c r="D339" t="s">
        <v>44</v>
      </c>
      <c r="E339" t="s">
        <v>45</v>
      </c>
      <c r="F339" t="s">
        <v>33</v>
      </c>
      <c r="G339">
        <v>7350000</v>
      </c>
      <c r="H339">
        <v>7350000</v>
      </c>
      <c r="I339" t="s">
        <v>20</v>
      </c>
      <c r="J339" s="7">
        <v>46174</v>
      </c>
      <c r="K339">
        <v>9000000</v>
      </c>
      <c r="L339" t="s">
        <v>52</v>
      </c>
    </row>
    <row r="340" spans="1:12" x14ac:dyDescent="0.3">
      <c r="A340" t="s">
        <v>383</v>
      </c>
      <c r="B340" s="7">
        <v>45504</v>
      </c>
      <c r="C340" t="s">
        <v>31</v>
      </c>
      <c r="D340" t="s">
        <v>23</v>
      </c>
      <c r="E340" t="s">
        <v>24</v>
      </c>
      <c r="F340" t="s">
        <v>33</v>
      </c>
      <c r="G340">
        <v>8600000</v>
      </c>
      <c r="H340">
        <v>8600000</v>
      </c>
      <c r="I340" t="s">
        <v>20</v>
      </c>
      <c r="J340" s="7">
        <v>45852</v>
      </c>
      <c r="K340">
        <v>7500000</v>
      </c>
      <c r="L340" t="s">
        <v>18</v>
      </c>
    </row>
    <row r="341" spans="1:12" x14ac:dyDescent="0.3">
      <c r="A341" t="s">
        <v>384</v>
      </c>
      <c r="B341" s="7">
        <v>45293</v>
      </c>
      <c r="C341" t="s">
        <v>13</v>
      </c>
      <c r="D341" t="s">
        <v>23</v>
      </c>
      <c r="E341" t="s">
        <v>24</v>
      </c>
      <c r="F341" t="s">
        <v>16</v>
      </c>
      <c r="G341">
        <v>4900000</v>
      </c>
      <c r="H341">
        <v>0</v>
      </c>
      <c r="I341" t="s">
        <v>17</v>
      </c>
      <c r="J341" s="7">
        <v>46042</v>
      </c>
      <c r="K341">
        <v>8500000</v>
      </c>
      <c r="L341" t="s">
        <v>502</v>
      </c>
    </row>
    <row r="342" spans="1:12" x14ac:dyDescent="0.3">
      <c r="A342" t="s">
        <v>385</v>
      </c>
      <c r="B342" s="7">
        <v>45647</v>
      </c>
      <c r="C342" t="s">
        <v>13</v>
      </c>
      <c r="D342" t="s">
        <v>23</v>
      </c>
      <c r="E342" t="s">
        <v>24</v>
      </c>
      <c r="F342" t="s">
        <v>51</v>
      </c>
      <c r="G342">
        <v>9800000</v>
      </c>
      <c r="H342">
        <v>1250000</v>
      </c>
      <c r="I342" t="s">
        <v>26</v>
      </c>
      <c r="J342" s="7">
        <v>46085</v>
      </c>
      <c r="K342">
        <v>8500000</v>
      </c>
      <c r="L342" t="s">
        <v>40</v>
      </c>
    </row>
    <row r="343" spans="1:12" x14ac:dyDescent="0.3">
      <c r="A343" t="s">
        <v>386</v>
      </c>
      <c r="B343" s="7">
        <v>45544</v>
      </c>
      <c r="C343" t="s">
        <v>13</v>
      </c>
      <c r="D343" t="s">
        <v>14</v>
      </c>
      <c r="E343" t="s">
        <v>15</v>
      </c>
      <c r="F343" t="s">
        <v>16</v>
      </c>
      <c r="G343">
        <v>5550000</v>
      </c>
      <c r="H343">
        <v>5550000</v>
      </c>
      <c r="I343" t="s">
        <v>20</v>
      </c>
      <c r="J343" s="7">
        <v>46342</v>
      </c>
      <c r="K343">
        <v>8500000</v>
      </c>
      <c r="L343" t="s">
        <v>18</v>
      </c>
    </row>
    <row r="344" spans="1:12" x14ac:dyDescent="0.3">
      <c r="A344" t="s">
        <v>387</v>
      </c>
      <c r="B344" s="7">
        <v>45338</v>
      </c>
      <c r="C344" t="s">
        <v>22</v>
      </c>
      <c r="D344" t="s">
        <v>14</v>
      </c>
      <c r="E344" t="s">
        <v>15</v>
      </c>
      <c r="F344" t="s">
        <v>25</v>
      </c>
      <c r="G344">
        <v>3050000</v>
      </c>
      <c r="H344">
        <v>300000</v>
      </c>
      <c r="I344" t="s">
        <v>26</v>
      </c>
      <c r="J344" s="7">
        <v>46146</v>
      </c>
      <c r="K344">
        <v>8000000</v>
      </c>
      <c r="L344" t="s">
        <v>29</v>
      </c>
    </row>
    <row r="345" spans="1:12" x14ac:dyDescent="0.3">
      <c r="A345" t="s">
        <v>388</v>
      </c>
      <c r="B345" s="7">
        <v>45640</v>
      </c>
      <c r="C345" t="s">
        <v>22</v>
      </c>
      <c r="D345" t="s">
        <v>44</v>
      </c>
      <c r="E345" t="s">
        <v>45</v>
      </c>
      <c r="F345" t="s">
        <v>51</v>
      </c>
      <c r="G345">
        <v>11750000</v>
      </c>
      <c r="H345">
        <v>0</v>
      </c>
      <c r="I345" t="s">
        <v>17</v>
      </c>
      <c r="J345" s="7">
        <v>46168</v>
      </c>
      <c r="K345">
        <v>8000000</v>
      </c>
      <c r="L345" t="s">
        <v>38</v>
      </c>
    </row>
    <row r="346" spans="1:12" x14ac:dyDescent="0.3">
      <c r="A346" t="s">
        <v>389</v>
      </c>
      <c r="B346" s="7">
        <v>45421</v>
      </c>
      <c r="C346" t="s">
        <v>35</v>
      </c>
      <c r="D346" t="s">
        <v>23</v>
      </c>
      <c r="E346" t="s">
        <v>24</v>
      </c>
      <c r="F346" t="s">
        <v>25</v>
      </c>
      <c r="G346">
        <v>2900000</v>
      </c>
      <c r="H346">
        <v>700000</v>
      </c>
      <c r="I346" t="s">
        <v>26</v>
      </c>
      <c r="J346" s="7">
        <v>45850</v>
      </c>
      <c r="K346">
        <v>9000000</v>
      </c>
      <c r="L346" t="s">
        <v>29</v>
      </c>
    </row>
    <row r="347" spans="1:12" x14ac:dyDescent="0.3">
      <c r="A347" t="s">
        <v>390</v>
      </c>
      <c r="B347" s="7">
        <v>45371</v>
      </c>
      <c r="C347" t="s">
        <v>35</v>
      </c>
      <c r="D347" t="s">
        <v>14</v>
      </c>
      <c r="E347" t="s">
        <v>15</v>
      </c>
      <c r="F347" t="s">
        <v>25</v>
      </c>
      <c r="G347">
        <v>3350000</v>
      </c>
      <c r="H347">
        <v>0</v>
      </c>
      <c r="I347" t="s">
        <v>17</v>
      </c>
      <c r="J347" s="7">
        <v>45980</v>
      </c>
      <c r="K347">
        <v>9000000</v>
      </c>
      <c r="L347" t="s">
        <v>42</v>
      </c>
    </row>
    <row r="348" spans="1:12" x14ac:dyDescent="0.3">
      <c r="A348" t="s">
        <v>391</v>
      </c>
      <c r="B348" s="7">
        <v>45317</v>
      </c>
      <c r="C348" t="s">
        <v>35</v>
      </c>
      <c r="D348" t="s">
        <v>14</v>
      </c>
      <c r="E348" t="s">
        <v>15</v>
      </c>
      <c r="F348" t="s">
        <v>16</v>
      </c>
      <c r="G348">
        <v>4700000</v>
      </c>
      <c r="H348">
        <v>4700000</v>
      </c>
      <c r="I348" t="s">
        <v>20</v>
      </c>
      <c r="J348" s="7">
        <v>45885</v>
      </c>
      <c r="K348">
        <v>9000000</v>
      </c>
      <c r="L348" t="s">
        <v>18</v>
      </c>
    </row>
    <row r="349" spans="1:12" x14ac:dyDescent="0.3">
      <c r="A349" t="s">
        <v>392</v>
      </c>
      <c r="B349" s="7">
        <v>45473</v>
      </c>
      <c r="C349" t="s">
        <v>31</v>
      </c>
      <c r="D349" t="s">
        <v>23</v>
      </c>
      <c r="E349" t="s">
        <v>24</v>
      </c>
      <c r="F349" t="s">
        <v>51</v>
      </c>
      <c r="G349">
        <v>12500000</v>
      </c>
      <c r="H349">
        <v>1350000</v>
      </c>
      <c r="I349" t="s">
        <v>26</v>
      </c>
      <c r="J349" s="7">
        <v>46370</v>
      </c>
      <c r="K349">
        <v>7500000</v>
      </c>
      <c r="L349" t="s">
        <v>40</v>
      </c>
    </row>
    <row r="350" spans="1:12" x14ac:dyDescent="0.3">
      <c r="A350" t="s">
        <v>393</v>
      </c>
      <c r="B350" s="7">
        <v>45331</v>
      </c>
      <c r="C350" t="s">
        <v>28</v>
      </c>
      <c r="D350" t="s">
        <v>14</v>
      </c>
      <c r="E350" t="s">
        <v>15</v>
      </c>
      <c r="F350" t="s">
        <v>33</v>
      </c>
      <c r="G350">
        <v>8750000</v>
      </c>
      <c r="H350">
        <v>8750000</v>
      </c>
      <c r="I350" t="s">
        <v>20</v>
      </c>
      <c r="J350" s="7">
        <v>45679</v>
      </c>
      <c r="K350">
        <v>7000000</v>
      </c>
      <c r="L350" t="s">
        <v>40</v>
      </c>
    </row>
    <row r="351" spans="1:12" x14ac:dyDescent="0.3">
      <c r="A351" t="s">
        <v>394</v>
      </c>
      <c r="B351" s="7">
        <v>45413</v>
      </c>
      <c r="C351" t="s">
        <v>13</v>
      </c>
      <c r="D351" t="s">
        <v>14</v>
      </c>
      <c r="E351" t="s">
        <v>15</v>
      </c>
      <c r="F351" t="s">
        <v>16</v>
      </c>
      <c r="G351">
        <v>5500000</v>
      </c>
      <c r="H351">
        <v>5500000</v>
      </c>
      <c r="I351" t="s">
        <v>20</v>
      </c>
      <c r="J351" s="7">
        <v>45688</v>
      </c>
      <c r="K351">
        <v>8500000</v>
      </c>
      <c r="L351" t="s">
        <v>42</v>
      </c>
    </row>
    <row r="352" spans="1:12" x14ac:dyDescent="0.3">
      <c r="A352" t="s">
        <v>395</v>
      </c>
      <c r="B352" s="7">
        <v>45609</v>
      </c>
      <c r="C352" t="s">
        <v>22</v>
      </c>
      <c r="D352" t="s">
        <v>23</v>
      </c>
      <c r="E352" t="s">
        <v>24</v>
      </c>
      <c r="F352" t="s">
        <v>16</v>
      </c>
      <c r="G352">
        <v>4450000</v>
      </c>
      <c r="H352">
        <v>0</v>
      </c>
      <c r="I352" t="s">
        <v>17</v>
      </c>
      <c r="J352" s="7">
        <v>46110</v>
      </c>
      <c r="K352">
        <v>8000000</v>
      </c>
      <c r="L352" t="s">
        <v>29</v>
      </c>
    </row>
    <row r="353" spans="1:12" x14ac:dyDescent="0.3">
      <c r="A353" t="s">
        <v>396</v>
      </c>
      <c r="B353" s="7">
        <v>45576</v>
      </c>
      <c r="C353" t="s">
        <v>22</v>
      </c>
      <c r="D353" t="s">
        <v>14</v>
      </c>
      <c r="E353" t="s">
        <v>15</v>
      </c>
      <c r="F353" t="s">
        <v>25</v>
      </c>
      <c r="G353">
        <v>2750000</v>
      </c>
      <c r="H353">
        <v>0</v>
      </c>
      <c r="I353" t="s">
        <v>17</v>
      </c>
      <c r="J353" s="7">
        <v>46172</v>
      </c>
      <c r="K353">
        <v>8000000</v>
      </c>
      <c r="L353" t="s">
        <v>502</v>
      </c>
    </row>
    <row r="354" spans="1:12" x14ac:dyDescent="0.3">
      <c r="A354" t="s">
        <v>397</v>
      </c>
      <c r="B354" s="7">
        <v>45315</v>
      </c>
      <c r="C354" t="s">
        <v>13</v>
      </c>
      <c r="D354" t="s">
        <v>14</v>
      </c>
      <c r="E354" t="s">
        <v>15</v>
      </c>
      <c r="F354" t="s">
        <v>33</v>
      </c>
      <c r="G354">
        <v>6750000</v>
      </c>
      <c r="H354">
        <v>6750000</v>
      </c>
      <c r="I354" t="s">
        <v>20</v>
      </c>
      <c r="J354" s="7">
        <v>45978</v>
      </c>
      <c r="K354">
        <v>8500000</v>
      </c>
      <c r="L354" t="s">
        <v>42</v>
      </c>
    </row>
    <row r="355" spans="1:12" x14ac:dyDescent="0.3">
      <c r="A355" t="s">
        <v>398</v>
      </c>
      <c r="B355" s="7">
        <v>45377</v>
      </c>
      <c r="C355" t="s">
        <v>13</v>
      </c>
      <c r="D355" t="s">
        <v>14</v>
      </c>
      <c r="E355" t="s">
        <v>15</v>
      </c>
      <c r="F355" t="s">
        <v>51</v>
      </c>
      <c r="G355">
        <v>12850000</v>
      </c>
      <c r="H355">
        <v>12850000</v>
      </c>
      <c r="I355" t="s">
        <v>20</v>
      </c>
      <c r="J355" s="7">
        <v>45725</v>
      </c>
      <c r="K355">
        <v>8500000</v>
      </c>
      <c r="L355" t="s">
        <v>502</v>
      </c>
    </row>
    <row r="356" spans="1:12" x14ac:dyDescent="0.3">
      <c r="A356" t="s">
        <v>399</v>
      </c>
      <c r="B356" s="7">
        <v>45508</v>
      </c>
      <c r="C356" t="s">
        <v>22</v>
      </c>
      <c r="D356" t="s">
        <v>14</v>
      </c>
      <c r="E356" t="s">
        <v>15</v>
      </c>
      <c r="F356" t="s">
        <v>16</v>
      </c>
      <c r="G356">
        <v>4250000</v>
      </c>
      <c r="H356">
        <v>4250000</v>
      </c>
      <c r="I356" t="s">
        <v>20</v>
      </c>
      <c r="J356" s="7">
        <v>45932</v>
      </c>
      <c r="K356">
        <v>8000000</v>
      </c>
      <c r="L356" t="s">
        <v>502</v>
      </c>
    </row>
    <row r="357" spans="1:12" x14ac:dyDescent="0.3">
      <c r="A357" t="s">
        <v>400</v>
      </c>
      <c r="B357" s="7">
        <v>45438</v>
      </c>
      <c r="C357" t="s">
        <v>13</v>
      </c>
      <c r="D357" t="s">
        <v>14</v>
      </c>
      <c r="E357" t="s">
        <v>15</v>
      </c>
      <c r="F357" t="s">
        <v>51</v>
      </c>
      <c r="G357">
        <v>13050000</v>
      </c>
      <c r="H357">
        <v>13050000</v>
      </c>
      <c r="I357" t="s">
        <v>20</v>
      </c>
      <c r="J357" s="7">
        <v>46009</v>
      </c>
      <c r="K357">
        <v>8500000</v>
      </c>
      <c r="L357" t="s">
        <v>502</v>
      </c>
    </row>
    <row r="358" spans="1:12" x14ac:dyDescent="0.3">
      <c r="A358" t="s">
        <v>401</v>
      </c>
      <c r="B358" s="7">
        <v>45485</v>
      </c>
      <c r="C358" t="s">
        <v>35</v>
      </c>
      <c r="D358" t="s">
        <v>23</v>
      </c>
      <c r="E358" t="s">
        <v>24</v>
      </c>
      <c r="F358" t="s">
        <v>16</v>
      </c>
      <c r="G358">
        <v>4350000</v>
      </c>
      <c r="H358">
        <v>0</v>
      </c>
      <c r="I358" t="s">
        <v>17</v>
      </c>
      <c r="J358" s="7">
        <v>45666</v>
      </c>
      <c r="K358">
        <v>9000000</v>
      </c>
      <c r="L358" t="s">
        <v>502</v>
      </c>
    </row>
    <row r="359" spans="1:12" x14ac:dyDescent="0.3">
      <c r="A359" t="s">
        <v>402</v>
      </c>
      <c r="B359" s="7">
        <v>45419</v>
      </c>
      <c r="C359" t="s">
        <v>22</v>
      </c>
      <c r="D359" t="s">
        <v>14</v>
      </c>
      <c r="E359" t="s">
        <v>15</v>
      </c>
      <c r="F359" t="s">
        <v>16</v>
      </c>
      <c r="G359">
        <v>5100000</v>
      </c>
      <c r="H359">
        <v>1900000</v>
      </c>
      <c r="I359" t="s">
        <v>26</v>
      </c>
      <c r="J359" s="7">
        <v>45719</v>
      </c>
      <c r="K359">
        <v>8000000</v>
      </c>
      <c r="L359" t="s">
        <v>18</v>
      </c>
    </row>
    <row r="360" spans="1:12" x14ac:dyDescent="0.3">
      <c r="A360" t="s">
        <v>403</v>
      </c>
      <c r="B360" s="7">
        <v>45653</v>
      </c>
      <c r="C360" t="s">
        <v>35</v>
      </c>
      <c r="D360" t="s">
        <v>23</v>
      </c>
      <c r="E360" t="s">
        <v>24</v>
      </c>
      <c r="F360" t="s">
        <v>16</v>
      </c>
      <c r="G360">
        <v>4500000</v>
      </c>
      <c r="H360">
        <v>1200000</v>
      </c>
      <c r="I360" t="s">
        <v>26</v>
      </c>
      <c r="J360" s="7">
        <v>46225</v>
      </c>
      <c r="K360">
        <v>9000000</v>
      </c>
      <c r="L360" t="s">
        <v>29</v>
      </c>
    </row>
    <row r="361" spans="1:12" x14ac:dyDescent="0.3">
      <c r="A361" t="s">
        <v>405</v>
      </c>
      <c r="B361" s="7">
        <v>45431</v>
      </c>
      <c r="C361" t="s">
        <v>28</v>
      </c>
      <c r="D361" t="s">
        <v>14</v>
      </c>
      <c r="E361" t="s">
        <v>15</v>
      </c>
      <c r="F361" t="s">
        <v>16</v>
      </c>
      <c r="G361">
        <v>4950000</v>
      </c>
      <c r="H361">
        <v>1050000</v>
      </c>
      <c r="I361" t="s">
        <v>26</v>
      </c>
      <c r="J361" s="7">
        <v>46122</v>
      </c>
      <c r="K361">
        <v>7000000</v>
      </c>
      <c r="L361" t="s">
        <v>52</v>
      </c>
    </row>
    <row r="362" spans="1:12" x14ac:dyDescent="0.3">
      <c r="A362" t="s">
        <v>406</v>
      </c>
      <c r="B362" s="7">
        <v>45428</v>
      </c>
      <c r="C362" t="s">
        <v>31</v>
      </c>
      <c r="D362" t="s">
        <v>14</v>
      </c>
      <c r="E362" t="s">
        <v>15</v>
      </c>
      <c r="F362" t="s">
        <v>51</v>
      </c>
      <c r="G362">
        <v>12100000</v>
      </c>
      <c r="H362">
        <v>3950000</v>
      </c>
      <c r="I362" t="s">
        <v>26</v>
      </c>
      <c r="J362" s="7">
        <v>46190</v>
      </c>
      <c r="K362">
        <v>7500000</v>
      </c>
      <c r="L362" t="s">
        <v>18</v>
      </c>
    </row>
    <row r="363" spans="1:12" x14ac:dyDescent="0.3">
      <c r="A363" t="s">
        <v>407</v>
      </c>
      <c r="B363" s="7">
        <v>45373</v>
      </c>
      <c r="C363" t="s">
        <v>22</v>
      </c>
      <c r="D363" t="s">
        <v>14</v>
      </c>
      <c r="E363" t="s">
        <v>15</v>
      </c>
      <c r="F363" t="s">
        <v>51</v>
      </c>
      <c r="G363">
        <v>13450000</v>
      </c>
      <c r="H363">
        <v>13450000</v>
      </c>
      <c r="I363" t="s">
        <v>20</v>
      </c>
      <c r="J363" s="7">
        <v>45757</v>
      </c>
      <c r="K363">
        <v>8000000</v>
      </c>
      <c r="L363" t="s">
        <v>502</v>
      </c>
    </row>
    <row r="364" spans="1:12" x14ac:dyDescent="0.3">
      <c r="A364" t="s">
        <v>408</v>
      </c>
      <c r="B364" s="7">
        <v>45490</v>
      </c>
      <c r="C364" t="s">
        <v>13</v>
      </c>
      <c r="D364" t="s">
        <v>23</v>
      </c>
      <c r="E364" t="s">
        <v>24</v>
      </c>
      <c r="F364" t="s">
        <v>16</v>
      </c>
      <c r="G364">
        <v>4400000</v>
      </c>
      <c r="H364">
        <v>1300000</v>
      </c>
      <c r="I364" t="s">
        <v>26</v>
      </c>
      <c r="J364" s="7">
        <v>46380</v>
      </c>
      <c r="K364">
        <v>8500000</v>
      </c>
      <c r="L364" t="s">
        <v>52</v>
      </c>
    </row>
    <row r="365" spans="1:12" x14ac:dyDescent="0.3">
      <c r="A365" t="s">
        <v>409</v>
      </c>
      <c r="B365" s="7">
        <v>45361</v>
      </c>
      <c r="C365" t="s">
        <v>35</v>
      </c>
      <c r="D365" t="s">
        <v>23</v>
      </c>
      <c r="E365" t="s">
        <v>24</v>
      </c>
      <c r="F365" t="s">
        <v>16</v>
      </c>
      <c r="G365">
        <v>5750000</v>
      </c>
      <c r="H365">
        <v>1250000</v>
      </c>
      <c r="I365" t="s">
        <v>26</v>
      </c>
      <c r="J365" s="7">
        <v>45878</v>
      </c>
      <c r="K365">
        <v>9000000</v>
      </c>
      <c r="L365" t="s">
        <v>502</v>
      </c>
    </row>
    <row r="366" spans="1:12" x14ac:dyDescent="0.3">
      <c r="A366" t="s">
        <v>410</v>
      </c>
      <c r="B366" s="7">
        <v>45476</v>
      </c>
      <c r="C366" t="s">
        <v>28</v>
      </c>
      <c r="D366" t="s">
        <v>23</v>
      </c>
      <c r="E366" t="s">
        <v>24</v>
      </c>
      <c r="F366" t="s">
        <v>51</v>
      </c>
      <c r="G366">
        <v>10600000</v>
      </c>
      <c r="H366">
        <v>3850000</v>
      </c>
      <c r="I366" t="s">
        <v>26</v>
      </c>
      <c r="J366" s="7">
        <v>45723</v>
      </c>
      <c r="K366">
        <v>7000000</v>
      </c>
      <c r="L366" t="s">
        <v>18</v>
      </c>
    </row>
    <row r="367" spans="1:12" x14ac:dyDescent="0.3">
      <c r="A367" t="s">
        <v>411</v>
      </c>
      <c r="B367" s="7">
        <v>45402</v>
      </c>
      <c r="C367" t="s">
        <v>35</v>
      </c>
      <c r="D367" t="s">
        <v>14</v>
      </c>
      <c r="E367" t="s">
        <v>15</v>
      </c>
      <c r="F367" t="s">
        <v>16</v>
      </c>
      <c r="G367">
        <v>4850000</v>
      </c>
      <c r="H367">
        <v>550000</v>
      </c>
      <c r="I367" t="s">
        <v>26</v>
      </c>
      <c r="J367" s="7">
        <v>45888</v>
      </c>
      <c r="K367">
        <v>9000000</v>
      </c>
      <c r="L367" t="s">
        <v>18</v>
      </c>
    </row>
    <row r="368" spans="1:12" x14ac:dyDescent="0.3">
      <c r="A368" t="s">
        <v>412</v>
      </c>
      <c r="B368" s="7">
        <v>45593</v>
      </c>
      <c r="C368" t="s">
        <v>13</v>
      </c>
      <c r="D368" t="s">
        <v>23</v>
      </c>
      <c r="E368" t="s">
        <v>24</v>
      </c>
      <c r="F368" t="s">
        <v>51</v>
      </c>
      <c r="G368">
        <v>12100000</v>
      </c>
      <c r="H368">
        <v>0</v>
      </c>
      <c r="I368" t="s">
        <v>17</v>
      </c>
      <c r="J368" s="7">
        <v>46120</v>
      </c>
      <c r="K368">
        <v>8500000</v>
      </c>
      <c r="L368" t="s">
        <v>29</v>
      </c>
    </row>
    <row r="369" spans="1:12" x14ac:dyDescent="0.3">
      <c r="A369" t="s">
        <v>413</v>
      </c>
      <c r="B369" s="7">
        <v>45555</v>
      </c>
      <c r="C369" t="s">
        <v>13</v>
      </c>
      <c r="D369" t="s">
        <v>23</v>
      </c>
      <c r="E369" t="s">
        <v>24</v>
      </c>
      <c r="F369" t="s">
        <v>16</v>
      </c>
      <c r="G369">
        <v>4050000</v>
      </c>
      <c r="H369">
        <v>4050000</v>
      </c>
      <c r="I369" t="s">
        <v>20</v>
      </c>
      <c r="J369" s="7">
        <v>46137</v>
      </c>
      <c r="K369">
        <v>8500000</v>
      </c>
      <c r="L369" t="s">
        <v>502</v>
      </c>
    </row>
    <row r="370" spans="1:12" x14ac:dyDescent="0.3">
      <c r="A370" t="s">
        <v>414</v>
      </c>
      <c r="B370" s="7">
        <v>45305</v>
      </c>
      <c r="C370" t="s">
        <v>28</v>
      </c>
      <c r="D370" t="s">
        <v>44</v>
      </c>
      <c r="E370" t="s">
        <v>45</v>
      </c>
      <c r="F370" t="s">
        <v>16</v>
      </c>
      <c r="G370">
        <v>4050000</v>
      </c>
      <c r="H370">
        <v>4050000</v>
      </c>
      <c r="I370" t="s">
        <v>20</v>
      </c>
      <c r="J370" s="7">
        <v>45764</v>
      </c>
      <c r="K370">
        <v>7000000</v>
      </c>
      <c r="L370" t="s">
        <v>18</v>
      </c>
    </row>
    <row r="371" spans="1:12" x14ac:dyDescent="0.3">
      <c r="A371" t="s">
        <v>415</v>
      </c>
      <c r="B371" s="7">
        <v>45305</v>
      </c>
      <c r="C371" t="s">
        <v>13</v>
      </c>
      <c r="D371" t="s">
        <v>14</v>
      </c>
      <c r="E371" t="s">
        <v>15</v>
      </c>
      <c r="F371" t="s">
        <v>25</v>
      </c>
      <c r="G371">
        <v>3150000</v>
      </c>
      <c r="H371">
        <v>450000</v>
      </c>
      <c r="I371" t="s">
        <v>26</v>
      </c>
      <c r="J371" s="7">
        <v>45957</v>
      </c>
      <c r="K371">
        <v>8500000</v>
      </c>
      <c r="L371" t="s">
        <v>52</v>
      </c>
    </row>
    <row r="372" spans="1:12" x14ac:dyDescent="0.3">
      <c r="A372" t="s">
        <v>416</v>
      </c>
      <c r="B372" s="7">
        <v>45460</v>
      </c>
      <c r="C372" t="s">
        <v>28</v>
      </c>
      <c r="D372" t="s">
        <v>23</v>
      </c>
      <c r="E372" t="s">
        <v>24</v>
      </c>
      <c r="F372" t="s">
        <v>33</v>
      </c>
      <c r="G372">
        <v>8550000</v>
      </c>
      <c r="H372">
        <v>950000</v>
      </c>
      <c r="I372" t="s">
        <v>26</v>
      </c>
      <c r="J372" s="7">
        <v>45710</v>
      </c>
      <c r="K372">
        <v>7000000</v>
      </c>
      <c r="L372" t="s">
        <v>29</v>
      </c>
    </row>
    <row r="373" spans="1:12" x14ac:dyDescent="0.3">
      <c r="A373" t="s">
        <v>417</v>
      </c>
      <c r="B373" s="7">
        <v>45422</v>
      </c>
      <c r="C373" t="s">
        <v>22</v>
      </c>
      <c r="D373" t="s">
        <v>14</v>
      </c>
      <c r="E373" t="s">
        <v>15</v>
      </c>
      <c r="F373" t="s">
        <v>33</v>
      </c>
      <c r="G373">
        <v>8750000</v>
      </c>
      <c r="H373">
        <v>0</v>
      </c>
      <c r="I373" t="s">
        <v>17</v>
      </c>
      <c r="J373" s="7">
        <v>46288</v>
      </c>
      <c r="K373">
        <v>8000000</v>
      </c>
      <c r="L373" t="s">
        <v>29</v>
      </c>
    </row>
    <row r="374" spans="1:12" x14ac:dyDescent="0.3">
      <c r="A374" t="s">
        <v>418</v>
      </c>
      <c r="B374" s="7">
        <v>45511</v>
      </c>
      <c r="C374" t="s">
        <v>22</v>
      </c>
      <c r="D374" t="s">
        <v>14</v>
      </c>
      <c r="E374" t="s">
        <v>15</v>
      </c>
      <c r="F374" t="s">
        <v>16</v>
      </c>
      <c r="G374">
        <v>5000000</v>
      </c>
      <c r="H374">
        <v>5000000</v>
      </c>
      <c r="I374" t="s">
        <v>20</v>
      </c>
      <c r="J374" s="7">
        <v>45826</v>
      </c>
      <c r="K374">
        <v>8000000</v>
      </c>
      <c r="L374" t="s">
        <v>29</v>
      </c>
    </row>
    <row r="375" spans="1:12" x14ac:dyDescent="0.3">
      <c r="A375" t="s">
        <v>419</v>
      </c>
      <c r="B375" s="7">
        <v>45363</v>
      </c>
      <c r="C375" t="s">
        <v>31</v>
      </c>
      <c r="D375" t="s">
        <v>14</v>
      </c>
      <c r="E375" t="s">
        <v>15</v>
      </c>
      <c r="F375" t="s">
        <v>16</v>
      </c>
      <c r="G375">
        <v>5150000</v>
      </c>
      <c r="H375">
        <v>1450000</v>
      </c>
      <c r="I375" t="s">
        <v>26</v>
      </c>
      <c r="J375" s="7">
        <v>46165</v>
      </c>
      <c r="K375">
        <v>7500000</v>
      </c>
      <c r="L375" t="s">
        <v>18</v>
      </c>
    </row>
    <row r="376" spans="1:12" x14ac:dyDescent="0.3">
      <c r="A376" t="s">
        <v>420</v>
      </c>
      <c r="B376" s="7">
        <v>45461</v>
      </c>
      <c r="C376" t="s">
        <v>31</v>
      </c>
      <c r="D376" t="s">
        <v>44</v>
      </c>
      <c r="E376" t="s">
        <v>45</v>
      </c>
      <c r="F376" t="s">
        <v>16</v>
      </c>
      <c r="G376">
        <v>5500000</v>
      </c>
      <c r="H376">
        <v>5500000</v>
      </c>
      <c r="I376" t="s">
        <v>20</v>
      </c>
      <c r="J376" s="7">
        <v>45655</v>
      </c>
      <c r="K376">
        <v>7500000</v>
      </c>
      <c r="L376" t="s">
        <v>40</v>
      </c>
    </row>
    <row r="377" spans="1:12" x14ac:dyDescent="0.3">
      <c r="A377" t="s">
        <v>421</v>
      </c>
      <c r="B377" s="7">
        <v>45446</v>
      </c>
      <c r="C377" t="s">
        <v>13</v>
      </c>
      <c r="D377" t="s">
        <v>14</v>
      </c>
      <c r="E377" t="s">
        <v>15</v>
      </c>
      <c r="F377" t="s">
        <v>25</v>
      </c>
      <c r="G377">
        <v>3000000</v>
      </c>
      <c r="H377">
        <v>700000</v>
      </c>
      <c r="I377" t="s">
        <v>26</v>
      </c>
      <c r="J377" s="7">
        <v>45736</v>
      </c>
      <c r="K377">
        <v>8500000</v>
      </c>
      <c r="L377" t="s">
        <v>502</v>
      </c>
    </row>
    <row r="378" spans="1:12" x14ac:dyDescent="0.3">
      <c r="A378" t="s">
        <v>422</v>
      </c>
      <c r="B378" s="7">
        <v>45598</v>
      </c>
      <c r="C378" t="s">
        <v>22</v>
      </c>
      <c r="D378" t="s">
        <v>23</v>
      </c>
      <c r="E378" t="s">
        <v>24</v>
      </c>
      <c r="F378" t="s">
        <v>16</v>
      </c>
      <c r="G378">
        <v>5600000</v>
      </c>
      <c r="H378">
        <v>5600000</v>
      </c>
      <c r="I378" t="s">
        <v>20</v>
      </c>
      <c r="J378" s="7">
        <v>46039</v>
      </c>
      <c r="K378">
        <v>8000000</v>
      </c>
      <c r="L378" t="s">
        <v>18</v>
      </c>
    </row>
    <row r="379" spans="1:12" x14ac:dyDescent="0.3">
      <c r="A379" t="s">
        <v>423</v>
      </c>
      <c r="B379" s="7">
        <v>45338</v>
      </c>
      <c r="C379" t="s">
        <v>28</v>
      </c>
      <c r="D379" t="s">
        <v>23</v>
      </c>
      <c r="E379" t="s">
        <v>24</v>
      </c>
      <c r="F379" t="s">
        <v>16</v>
      </c>
      <c r="G379">
        <v>4700000</v>
      </c>
      <c r="H379">
        <v>4700000</v>
      </c>
      <c r="I379" t="s">
        <v>20</v>
      </c>
      <c r="J379" s="7">
        <v>45896</v>
      </c>
      <c r="K379">
        <v>7000000</v>
      </c>
      <c r="L379" t="s">
        <v>18</v>
      </c>
    </row>
    <row r="380" spans="1:12" x14ac:dyDescent="0.3">
      <c r="A380" t="s">
        <v>424</v>
      </c>
      <c r="B380" s="7">
        <v>45467</v>
      </c>
      <c r="C380" t="s">
        <v>22</v>
      </c>
      <c r="D380" t="s">
        <v>14</v>
      </c>
      <c r="E380" t="s">
        <v>15</v>
      </c>
      <c r="F380" t="s">
        <v>25</v>
      </c>
      <c r="G380">
        <v>2750000</v>
      </c>
      <c r="H380">
        <v>0</v>
      </c>
      <c r="I380" t="s">
        <v>17</v>
      </c>
      <c r="J380" s="7">
        <v>46095</v>
      </c>
      <c r="K380">
        <v>8000000</v>
      </c>
      <c r="L380" t="s">
        <v>502</v>
      </c>
    </row>
    <row r="381" spans="1:12" x14ac:dyDescent="0.3">
      <c r="A381" t="s">
        <v>425</v>
      </c>
      <c r="B381" s="7">
        <v>45429</v>
      </c>
      <c r="C381" t="s">
        <v>22</v>
      </c>
      <c r="D381" t="s">
        <v>23</v>
      </c>
      <c r="E381" t="s">
        <v>24</v>
      </c>
      <c r="F381" t="s">
        <v>16</v>
      </c>
      <c r="G381">
        <v>5350000</v>
      </c>
      <c r="H381">
        <v>1150000</v>
      </c>
      <c r="I381" t="s">
        <v>26</v>
      </c>
      <c r="J381" s="7">
        <v>46267</v>
      </c>
      <c r="K381">
        <v>8000000</v>
      </c>
      <c r="L381" t="s">
        <v>502</v>
      </c>
    </row>
    <row r="382" spans="1:12" x14ac:dyDescent="0.3">
      <c r="A382" t="s">
        <v>426</v>
      </c>
      <c r="B382" s="7">
        <v>45607</v>
      </c>
      <c r="C382" t="s">
        <v>22</v>
      </c>
      <c r="D382" t="s">
        <v>14</v>
      </c>
      <c r="E382" t="s">
        <v>15</v>
      </c>
      <c r="F382" t="s">
        <v>16</v>
      </c>
      <c r="G382">
        <v>4450000</v>
      </c>
      <c r="H382">
        <v>4450000</v>
      </c>
      <c r="I382" t="s">
        <v>20</v>
      </c>
      <c r="J382" s="7">
        <v>46348</v>
      </c>
      <c r="K382">
        <v>8000000</v>
      </c>
      <c r="L382" t="s">
        <v>502</v>
      </c>
    </row>
    <row r="383" spans="1:12" x14ac:dyDescent="0.3">
      <c r="A383" t="s">
        <v>427</v>
      </c>
      <c r="B383" s="7">
        <v>45524</v>
      </c>
      <c r="C383" t="s">
        <v>22</v>
      </c>
      <c r="D383" t="s">
        <v>44</v>
      </c>
      <c r="E383" t="s">
        <v>45</v>
      </c>
      <c r="F383" t="s">
        <v>33</v>
      </c>
      <c r="G383">
        <v>6600000</v>
      </c>
      <c r="H383">
        <v>6600000</v>
      </c>
      <c r="I383" t="s">
        <v>20</v>
      </c>
      <c r="J383" s="7">
        <v>46045</v>
      </c>
      <c r="K383">
        <v>8000000</v>
      </c>
      <c r="L383" t="s">
        <v>29</v>
      </c>
    </row>
    <row r="384" spans="1:12" x14ac:dyDescent="0.3">
      <c r="A384" t="s">
        <v>428</v>
      </c>
      <c r="B384" s="7">
        <v>45468</v>
      </c>
      <c r="C384" t="s">
        <v>31</v>
      </c>
      <c r="D384" t="s">
        <v>23</v>
      </c>
      <c r="E384" t="s">
        <v>24</v>
      </c>
      <c r="F384" t="s">
        <v>33</v>
      </c>
      <c r="G384">
        <v>6850000</v>
      </c>
      <c r="H384">
        <v>6850000</v>
      </c>
      <c r="I384" t="s">
        <v>20</v>
      </c>
      <c r="J384" s="7">
        <v>46100</v>
      </c>
      <c r="K384">
        <v>7500000</v>
      </c>
      <c r="L384" t="s">
        <v>18</v>
      </c>
    </row>
    <row r="385" spans="1:12" x14ac:dyDescent="0.3">
      <c r="A385" t="s">
        <v>429</v>
      </c>
      <c r="B385" s="7">
        <v>45522</v>
      </c>
      <c r="C385" t="s">
        <v>13</v>
      </c>
      <c r="D385" t="s">
        <v>14</v>
      </c>
      <c r="E385" t="s">
        <v>15</v>
      </c>
      <c r="F385" t="s">
        <v>33</v>
      </c>
      <c r="G385">
        <v>8000000</v>
      </c>
      <c r="H385">
        <v>8000000</v>
      </c>
      <c r="I385" t="s">
        <v>20</v>
      </c>
      <c r="J385" s="7">
        <v>46164</v>
      </c>
      <c r="K385">
        <v>8500000</v>
      </c>
      <c r="L385" t="s">
        <v>18</v>
      </c>
    </row>
    <row r="386" spans="1:12" x14ac:dyDescent="0.3">
      <c r="A386" t="s">
        <v>430</v>
      </c>
      <c r="B386" s="7">
        <v>45508</v>
      </c>
      <c r="C386" t="s">
        <v>13</v>
      </c>
      <c r="D386" t="s">
        <v>14</v>
      </c>
      <c r="E386" t="s">
        <v>15</v>
      </c>
      <c r="F386" t="s">
        <v>33</v>
      </c>
      <c r="G386">
        <v>6900000</v>
      </c>
      <c r="H386">
        <v>6900000</v>
      </c>
      <c r="I386" t="s">
        <v>20</v>
      </c>
      <c r="J386" s="7">
        <v>46100</v>
      </c>
      <c r="K386">
        <v>8500000</v>
      </c>
      <c r="L386" t="s">
        <v>40</v>
      </c>
    </row>
    <row r="387" spans="1:12" x14ac:dyDescent="0.3">
      <c r="A387" t="s">
        <v>431</v>
      </c>
      <c r="B387" s="7">
        <v>45527</v>
      </c>
      <c r="C387" t="s">
        <v>35</v>
      </c>
      <c r="D387" t="s">
        <v>23</v>
      </c>
      <c r="E387" t="s">
        <v>24</v>
      </c>
      <c r="F387" t="s">
        <v>16</v>
      </c>
      <c r="G387">
        <v>5400000</v>
      </c>
      <c r="H387">
        <v>800000</v>
      </c>
      <c r="I387" t="s">
        <v>26</v>
      </c>
      <c r="J387" s="7">
        <v>46159</v>
      </c>
      <c r="K387">
        <v>9000000</v>
      </c>
      <c r="L387" t="s">
        <v>40</v>
      </c>
    </row>
    <row r="388" spans="1:12" x14ac:dyDescent="0.3">
      <c r="A388" t="s">
        <v>432</v>
      </c>
      <c r="B388" s="7">
        <v>45487</v>
      </c>
      <c r="C388" t="s">
        <v>31</v>
      </c>
      <c r="D388" t="s">
        <v>14</v>
      </c>
      <c r="E388" t="s">
        <v>15</v>
      </c>
      <c r="F388" t="s">
        <v>25</v>
      </c>
      <c r="G388">
        <v>3050000</v>
      </c>
      <c r="H388">
        <v>300000</v>
      </c>
      <c r="I388" t="s">
        <v>26</v>
      </c>
      <c r="J388" s="7">
        <v>46332</v>
      </c>
      <c r="K388">
        <v>7500000</v>
      </c>
      <c r="L388" t="s">
        <v>52</v>
      </c>
    </row>
    <row r="389" spans="1:12" x14ac:dyDescent="0.3">
      <c r="A389" t="s">
        <v>433</v>
      </c>
      <c r="B389" s="7">
        <v>45594</v>
      </c>
      <c r="C389" t="s">
        <v>22</v>
      </c>
      <c r="D389" t="s">
        <v>14</v>
      </c>
      <c r="E389" t="s">
        <v>15</v>
      </c>
      <c r="F389" t="s">
        <v>16</v>
      </c>
      <c r="G389">
        <v>4950000</v>
      </c>
      <c r="H389">
        <v>550000</v>
      </c>
      <c r="I389" t="s">
        <v>26</v>
      </c>
      <c r="J389" s="7">
        <v>46151</v>
      </c>
      <c r="K389">
        <v>8000000</v>
      </c>
      <c r="L389" t="s">
        <v>18</v>
      </c>
    </row>
    <row r="390" spans="1:12" x14ac:dyDescent="0.3">
      <c r="A390" t="s">
        <v>434</v>
      </c>
      <c r="B390" s="7">
        <v>45428</v>
      </c>
      <c r="C390" t="s">
        <v>22</v>
      </c>
      <c r="D390" t="s">
        <v>14</v>
      </c>
      <c r="E390" t="s">
        <v>15</v>
      </c>
      <c r="F390" t="s">
        <v>16</v>
      </c>
      <c r="G390">
        <v>5250000</v>
      </c>
      <c r="H390">
        <v>5250000</v>
      </c>
      <c r="I390" t="s">
        <v>20</v>
      </c>
      <c r="J390" s="7">
        <v>46166</v>
      </c>
      <c r="K390">
        <v>8000000</v>
      </c>
      <c r="L390" t="s">
        <v>18</v>
      </c>
    </row>
    <row r="391" spans="1:12" x14ac:dyDescent="0.3">
      <c r="A391" t="s">
        <v>435</v>
      </c>
      <c r="B391" s="7">
        <v>45427</v>
      </c>
      <c r="C391" t="s">
        <v>35</v>
      </c>
      <c r="D391" t="s">
        <v>14</v>
      </c>
      <c r="E391" t="s">
        <v>15</v>
      </c>
      <c r="F391" t="s">
        <v>25</v>
      </c>
      <c r="G391">
        <v>2900000</v>
      </c>
      <c r="H391">
        <v>750000</v>
      </c>
      <c r="I391" t="s">
        <v>26</v>
      </c>
      <c r="J391" s="7">
        <v>46109</v>
      </c>
      <c r="K391">
        <v>9000000</v>
      </c>
      <c r="L391" t="s">
        <v>52</v>
      </c>
    </row>
    <row r="392" spans="1:12" x14ac:dyDescent="0.3">
      <c r="A392" t="s">
        <v>436</v>
      </c>
      <c r="B392" s="7">
        <v>45330</v>
      </c>
      <c r="C392" t="s">
        <v>13</v>
      </c>
      <c r="D392" t="s">
        <v>14</v>
      </c>
      <c r="E392" t="s">
        <v>15</v>
      </c>
      <c r="F392" t="s">
        <v>25</v>
      </c>
      <c r="G392">
        <v>2650000</v>
      </c>
      <c r="H392">
        <v>800000</v>
      </c>
      <c r="I392" t="s">
        <v>26</v>
      </c>
      <c r="J392" s="7">
        <v>45958</v>
      </c>
      <c r="K392">
        <v>8500000</v>
      </c>
      <c r="L392" t="s">
        <v>42</v>
      </c>
    </row>
    <row r="393" spans="1:12" x14ac:dyDescent="0.3">
      <c r="A393" t="s">
        <v>437</v>
      </c>
      <c r="B393" s="7">
        <v>45336</v>
      </c>
      <c r="C393" t="s">
        <v>22</v>
      </c>
      <c r="D393" t="s">
        <v>14</v>
      </c>
      <c r="E393" t="s">
        <v>15</v>
      </c>
      <c r="F393" t="s">
        <v>33</v>
      </c>
      <c r="G393">
        <v>8100000</v>
      </c>
      <c r="H393">
        <v>8100000</v>
      </c>
      <c r="I393" t="s">
        <v>20</v>
      </c>
      <c r="J393" s="7">
        <v>45955</v>
      </c>
      <c r="K393">
        <v>8000000</v>
      </c>
      <c r="L393" t="s">
        <v>40</v>
      </c>
    </row>
    <row r="394" spans="1:12" x14ac:dyDescent="0.3">
      <c r="A394" t="s">
        <v>438</v>
      </c>
      <c r="B394" s="7">
        <v>45644</v>
      </c>
      <c r="C394" t="s">
        <v>31</v>
      </c>
      <c r="D394" t="s">
        <v>23</v>
      </c>
      <c r="E394" t="s">
        <v>24</v>
      </c>
      <c r="F394" t="s">
        <v>16</v>
      </c>
      <c r="G394">
        <v>5850000</v>
      </c>
      <c r="H394">
        <v>5850000</v>
      </c>
      <c r="I394" t="s">
        <v>20</v>
      </c>
      <c r="J394" s="7">
        <v>45919</v>
      </c>
      <c r="K394">
        <v>7500000</v>
      </c>
      <c r="L394" t="s">
        <v>40</v>
      </c>
    </row>
    <row r="395" spans="1:12" x14ac:dyDescent="0.3">
      <c r="A395" t="s">
        <v>439</v>
      </c>
      <c r="B395" s="7">
        <v>45464</v>
      </c>
      <c r="C395" t="s">
        <v>35</v>
      </c>
      <c r="D395" t="s">
        <v>14</v>
      </c>
      <c r="E395" t="s">
        <v>15</v>
      </c>
      <c r="F395" t="s">
        <v>33</v>
      </c>
      <c r="G395">
        <v>8350000</v>
      </c>
      <c r="H395">
        <v>0</v>
      </c>
      <c r="I395" t="s">
        <v>17</v>
      </c>
      <c r="J395" s="7">
        <v>46142</v>
      </c>
      <c r="K395">
        <v>9000000</v>
      </c>
      <c r="L395" t="s">
        <v>40</v>
      </c>
    </row>
    <row r="396" spans="1:12" x14ac:dyDescent="0.3">
      <c r="A396" t="s">
        <v>440</v>
      </c>
      <c r="B396" s="7">
        <v>45590</v>
      </c>
      <c r="C396" t="s">
        <v>13</v>
      </c>
      <c r="D396" t="s">
        <v>23</v>
      </c>
      <c r="E396" t="s">
        <v>24</v>
      </c>
      <c r="F396" t="s">
        <v>33</v>
      </c>
      <c r="G396">
        <v>6650000</v>
      </c>
      <c r="H396">
        <v>6650000</v>
      </c>
      <c r="I396" t="s">
        <v>20</v>
      </c>
      <c r="J396" s="7">
        <v>46488</v>
      </c>
      <c r="K396">
        <v>8500000</v>
      </c>
      <c r="L396" t="s">
        <v>502</v>
      </c>
    </row>
    <row r="397" spans="1:12" x14ac:dyDescent="0.3">
      <c r="A397" t="s">
        <v>441</v>
      </c>
      <c r="B397" s="7">
        <v>45530</v>
      </c>
      <c r="C397" t="s">
        <v>35</v>
      </c>
      <c r="D397" t="s">
        <v>14</v>
      </c>
      <c r="E397" t="s">
        <v>15</v>
      </c>
      <c r="F397" t="s">
        <v>33</v>
      </c>
      <c r="G397">
        <v>7000000</v>
      </c>
      <c r="H397">
        <v>7000000</v>
      </c>
      <c r="I397" t="s">
        <v>20</v>
      </c>
      <c r="J397" s="7">
        <v>46028</v>
      </c>
      <c r="K397">
        <v>9000000</v>
      </c>
      <c r="L397" t="s">
        <v>38</v>
      </c>
    </row>
    <row r="398" spans="1:12" x14ac:dyDescent="0.3">
      <c r="A398" t="s">
        <v>442</v>
      </c>
      <c r="B398" s="7">
        <v>45356</v>
      </c>
      <c r="C398" t="s">
        <v>22</v>
      </c>
      <c r="D398" t="s">
        <v>23</v>
      </c>
      <c r="E398" t="s">
        <v>24</v>
      </c>
      <c r="F398" t="s">
        <v>16</v>
      </c>
      <c r="G398">
        <v>4800000</v>
      </c>
      <c r="H398">
        <v>550000</v>
      </c>
      <c r="I398" t="s">
        <v>26</v>
      </c>
      <c r="J398" s="7">
        <v>45693</v>
      </c>
      <c r="K398">
        <v>8000000</v>
      </c>
      <c r="L398" t="s">
        <v>502</v>
      </c>
    </row>
    <row r="399" spans="1:12" x14ac:dyDescent="0.3">
      <c r="A399" t="s">
        <v>443</v>
      </c>
      <c r="B399" s="7">
        <v>45318</v>
      </c>
      <c r="C399" t="s">
        <v>31</v>
      </c>
      <c r="D399" t="s">
        <v>44</v>
      </c>
      <c r="E399" t="s">
        <v>45</v>
      </c>
      <c r="F399" t="s">
        <v>25</v>
      </c>
      <c r="G399">
        <v>3300000</v>
      </c>
      <c r="H399">
        <v>3300000</v>
      </c>
      <c r="I399" t="s">
        <v>26</v>
      </c>
      <c r="J399" s="7">
        <v>45985</v>
      </c>
      <c r="K399">
        <v>7500000</v>
      </c>
      <c r="L399" t="s">
        <v>502</v>
      </c>
    </row>
    <row r="400" spans="1:12" x14ac:dyDescent="0.3">
      <c r="A400" t="s">
        <v>444</v>
      </c>
      <c r="B400" s="7">
        <v>45649</v>
      </c>
      <c r="C400" t="s">
        <v>31</v>
      </c>
      <c r="D400" t="s">
        <v>23</v>
      </c>
      <c r="E400" t="s">
        <v>24</v>
      </c>
      <c r="F400" t="s">
        <v>25</v>
      </c>
      <c r="G400">
        <v>3400000</v>
      </c>
      <c r="H400">
        <v>3400000</v>
      </c>
      <c r="I400" t="s">
        <v>20</v>
      </c>
      <c r="J400" s="7">
        <v>46416</v>
      </c>
      <c r="K400">
        <v>7500000</v>
      </c>
      <c r="L400" t="s">
        <v>18</v>
      </c>
    </row>
    <row r="401" spans="1:12" x14ac:dyDescent="0.3">
      <c r="A401" t="s">
        <v>445</v>
      </c>
      <c r="B401" s="7">
        <v>45357</v>
      </c>
      <c r="C401" t="s">
        <v>13</v>
      </c>
      <c r="D401" t="s">
        <v>14</v>
      </c>
      <c r="E401" t="s">
        <v>15</v>
      </c>
      <c r="F401" t="s">
        <v>16</v>
      </c>
      <c r="G401">
        <v>5100000</v>
      </c>
      <c r="H401">
        <v>1150000</v>
      </c>
      <c r="I401" t="s">
        <v>26</v>
      </c>
      <c r="J401" s="7">
        <v>45753</v>
      </c>
      <c r="K401">
        <v>8500000</v>
      </c>
      <c r="L401" t="s">
        <v>502</v>
      </c>
    </row>
    <row r="402" spans="1:12" x14ac:dyDescent="0.3">
      <c r="A402" t="s">
        <v>446</v>
      </c>
      <c r="B402" s="7">
        <v>45454</v>
      </c>
      <c r="C402" t="s">
        <v>13</v>
      </c>
      <c r="D402" t="s">
        <v>23</v>
      </c>
      <c r="E402" t="s">
        <v>24</v>
      </c>
      <c r="F402" t="s">
        <v>16</v>
      </c>
      <c r="G402">
        <v>4250000</v>
      </c>
      <c r="H402">
        <v>1300000</v>
      </c>
      <c r="I402" t="s">
        <v>26</v>
      </c>
      <c r="J402" s="7">
        <v>46022</v>
      </c>
      <c r="K402">
        <v>8500000</v>
      </c>
      <c r="L402" t="s">
        <v>502</v>
      </c>
    </row>
    <row r="403" spans="1:12" x14ac:dyDescent="0.3">
      <c r="A403" t="s">
        <v>447</v>
      </c>
      <c r="B403" s="7">
        <v>45537</v>
      </c>
      <c r="C403" t="s">
        <v>35</v>
      </c>
      <c r="D403" t="s">
        <v>23</v>
      </c>
      <c r="E403" t="s">
        <v>24</v>
      </c>
      <c r="F403" t="s">
        <v>16</v>
      </c>
      <c r="G403">
        <v>4600000</v>
      </c>
      <c r="H403">
        <v>0</v>
      </c>
      <c r="I403" t="s">
        <v>17</v>
      </c>
      <c r="J403" s="7">
        <v>46428</v>
      </c>
      <c r="K403">
        <v>9000000</v>
      </c>
      <c r="L403" t="s">
        <v>502</v>
      </c>
    </row>
    <row r="404" spans="1:12" x14ac:dyDescent="0.3">
      <c r="A404" t="s">
        <v>448</v>
      </c>
      <c r="B404" s="7">
        <v>45445</v>
      </c>
      <c r="C404" t="s">
        <v>22</v>
      </c>
      <c r="D404" t="s">
        <v>44</v>
      </c>
      <c r="E404" t="s">
        <v>45</v>
      </c>
      <c r="F404" t="s">
        <v>51</v>
      </c>
      <c r="G404">
        <v>9750000</v>
      </c>
      <c r="H404">
        <v>9750000</v>
      </c>
      <c r="I404" t="s">
        <v>20</v>
      </c>
      <c r="J404" s="7">
        <v>46040</v>
      </c>
      <c r="K404">
        <v>8000000</v>
      </c>
      <c r="L404" t="s">
        <v>502</v>
      </c>
    </row>
    <row r="405" spans="1:12" x14ac:dyDescent="0.3">
      <c r="A405" t="s">
        <v>449</v>
      </c>
      <c r="B405" s="7">
        <v>45337</v>
      </c>
      <c r="C405" t="s">
        <v>28</v>
      </c>
      <c r="D405" t="s">
        <v>14</v>
      </c>
      <c r="E405" t="s">
        <v>15</v>
      </c>
      <c r="F405" t="s">
        <v>16</v>
      </c>
      <c r="G405">
        <v>4900000</v>
      </c>
      <c r="H405">
        <v>4900000</v>
      </c>
      <c r="I405" t="s">
        <v>20</v>
      </c>
      <c r="J405" s="7">
        <v>45554</v>
      </c>
      <c r="K405">
        <v>7000000</v>
      </c>
      <c r="L405" t="s">
        <v>502</v>
      </c>
    </row>
    <row r="406" spans="1:12" x14ac:dyDescent="0.3">
      <c r="A406" t="s">
        <v>450</v>
      </c>
      <c r="B406" s="7">
        <v>45573</v>
      </c>
      <c r="C406" t="s">
        <v>28</v>
      </c>
      <c r="D406" t="s">
        <v>14</v>
      </c>
      <c r="E406" t="s">
        <v>15</v>
      </c>
      <c r="F406" t="s">
        <v>16</v>
      </c>
      <c r="G406">
        <v>5650000</v>
      </c>
      <c r="H406">
        <v>1950000</v>
      </c>
      <c r="I406" t="s">
        <v>26</v>
      </c>
      <c r="J406" s="7">
        <v>46128</v>
      </c>
      <c r="K406">
        <v>7000000</v>
      </c>
      <c r="L406" t="s">
        <v>502</v>
      </c>
    </row>
    <row r="407" spans="1:12" x14ac:dyDescent="0.3">
      <c r="A407" t="s">
        <v>451</v>
      </c>
      <c r="B407" s="7">
        <v>45474</v>
      </c>
      <c r="C407" t="s">
        <v>22</v>
      </c>
      <c r="D407" t="s">
        <v>14</v>
      </c>
      <c r="E407" t="s">
        <v>15</v>
      </c>
      <c r="F407" t="s">
        <v>51</v>
      </c>
      <c r="G407">
        <v>12300000</v>
      </c>
      <c r="H407">
        <v>12300000</v>
      </c>
      <c r="I407" t="s">
        <v>20</v>
      </c>
      <c r="J407" s="7">
        <v>45699</v>
      </c>
      <c r="K407">
        <v>8000000</v>
      </c>
      <c r="L407" t="s">
        <v>40</v>
      </c>
    </row>
    <row r="408" spans="1:12" x14ac:dyDescent="0.3">
      <c r="A408" t="s">
        <v>452</v>
      </c>
      <c r="B408" s="7">
        <v>45435</v>
      </c>
      <c r="C408" t="s">
        <v>22</v>
      </c>
      <c r="D408" t="s">
        <v>14</v>
      </c>
      <c r="E408" t="s">
        <v>15</v>
      </c>
      <c r="F408" t="s">
        <v>16</v>
      </c>
      <c r="G408">
        <v>4950000</v>
      </c>
      <c r="H408">
        <v>4950000</v>
      </c>
      <c r="I408" t="s">
        <v>20</v>
      </c>
      <c r="J408" s="7">
        <v>45986</v>
      </c>
      <c r="K408">
        <v>8000000</v>
      </c>
      <c r="L408" t="s">
        <v>38</v>
      </c>
    </row>
    <row r="409" spans="1:12" x14ac:dyDescent="0.3">
      <c r="A409" t="s">
        <v>453</v>
      </c>
      <c r="B409" s="7">
        <v>45329</v>
      </c>
      <c r="C409" t="s">
        <v>13</v>
      </c>
      <c r="D409" t="s">
        <v>23</v>
      </c>
      <c r="E409" t="s">
        <v>24</v>
      </c>
      <c r="F409" t="s">
        <v>25</v>
      </c>
      <c r="G409">
        <v>3350000</v>
      </c>
      <c r="H409">
        <v>0</v>
      </c>
      <c r="I409" t="s">
        <v>17</v>
      </c>
      <c r="J409" s="7">
        <v>45836</v>
      </c>
      <c r="K409">
        <v>8500000</v>
      </c>
      <c r="L409" t="s">
        <v>40</v>
      </c>
    </row>
    <row r="410" spans="1:12" x14ac:dyDescent="0.3">
      <c r="A410" t="s">
        <v>454</v>
      </c>
      <c r="B410" s="7">
        <v>45471</v>
      </c>
      <c r="C410" t="s">
        <v>35</v>
      </c>
      <c r="D410" t="s">
        <v>44</v>
      </c>
      <c r="E410" t="s">
        <v>45</v>
      </c>
      <c r="F410" t="s">
        <v>33</v>
      </c>
      <c r="G410">
        <v>8150000</v>
      </c>
      <c r="H410">
        <v>8150000</v>
      </c>
      <c r="I410" t="s">
        <v>20</v>
      </c>
      <c r="J410" s="7">
        <v>46260</v>
      </c>
      <c r="K410">
        <v>9000000</v>
      </c>
      <c r="L410" t="s">
        <v>38</v>
      </c>
    </row>
    <row r="411" spans="1:12" x14ac:dyDescent="0.3">
      <c r="A411" t="s">
        <v>455</v>
      </c>
      <c r="B411" s="7">
        <v>45560</v>
      </c>
      <c r="C411" t="s">
        <v>35</v>
      </c>
      <c r="D411" t="s">
        <v>23</v>
      </c>
      <c r="E411" t="s">
        <v>24</v>
      </c>
      <c r="F411" t="s">
        <v>16</v>
      </c>
      <c r="G411">
        <v>4650000</v>
      </c>
      <c r="H411">
        <v>700000</v>
      </c>
      <c r="I411" t="s">
        <v>26</v>
      </c>
      <c r="J411" s="7">
        <v>46290</v>
      </c>
      <c r="K411">
        <v>9000000</v>
      </c>
      <c r="L411" t="s">
        <v>502</v>
      </c>
    </row>
    <row r="412" spans="1:12" x14ac:dyDescent="0.3">
      <c r="A412" t="s">
        <v>456</v>
      </c>
      <c r="B412" s="7">
        <v>45342</v>
      </c>
      <c r="C412" t="s">
        <v>22</v>
      </c>
      <c r="D412" t="s">
        <v>44</v>
      </c>
      <c r="E412" t="s">
        <v>45</v>
      </c>
      <c r="F412" t="s">
        <v>51</v>
      </c>
      <c r="G412">
        <v>11300000</v>
      </c>
      <c r="H412">
        <v>2650000</v>
      </c>
      <c r="I412" t="s">
        <v>26</v>
      </c>
      <c r="J412" s="7">
        <v>45755</v>
      </c>
      <c r="K412">
        <v>8000000</v>
      </c>
      <c r="L412" t="s">
        <v>502</v>
      </c>
    </row>
    <row r="413" spans="1:12" x14ac:dyDescent="0.3">
      <c r="A413" t="s">
        <v>457</v>
      </c>
      <c r="B413" s="7">
        <v>45381</v>
      </c>
      <c r="C413" t="s">
        <v>28</v>
      </c>
      <c r="D413" t="s">
        <v>44</v>
      </c>
      <c r="E413" t="s">
        <v>45</v>
      </c>
      <c r="F413" t="s">
        <v>51</v>
      </c>
      <c r="G413">
        <v>12500000</v>
      </c>
      <c r="H413">
        <v>12500000</v>
      </c>
      <c r="I413" t="s">
        <v>26</v>
      </c>
      <c r="J413" s="7">
        <v>46242</v>
      </c>
      <c r="K413">
        <v>7000000</v>
      </c>
      <c r="L413" t="s">
        <v>52</v>
      </c>
    </row>
    <row r="414" spans="1:12" x14ac:dyDescent="0.3">
      <c r="A414" t="s">
        <v>458</v>
      </c>
      <c r="B414" s="7">
        <v>45449</v>
      </c>
      <c r="C414" t="s">
        <v>13</v>
      </c>
      <c r="D414" t="s">
        <v>23</v>
      </c>
      <c r="E414" t="s">
        <v>24</v>
      </c>
      <c r="F414" t="s">
        <v>25</v>
      </c>
      <c r="G414">
        <v>3150000</v>
      </c>
      <c r="H414">
        <v>700000</v>
      </c>
      <c r="I414" t="s">
        <v>26</v>
      </c>
      <c r="J414" s="7">
        <v>46008</v>
      </c>
      <c r="K414">
        <v>8500000</v>
      </c>
      <c r="L414" t="s">
        <v>502</v>
      </c>
    </row>
    <row r="415" spans="1:12" x14ac:dyDescent="0.3">
      <c r="A415" t="s">
        <v>459</v>
      </c>
      <c r="B415" s="7">
        <v>45358</v>
      </c>
      <c r="C415" t="s">
        <v>35</v>
      </c>
      <c r="D415" t="s">
        <v>23</v>
      </c>
      <c r="E415" t="s">
        <v>24</v>
      </c>
      <c r="F415" t="s">
        <v>25</v>
      </c>
      <c r="G415">
        <v>2500000</v>
      </c>
      <c r="H415">
        <v>2500000</v>
      </c>
      <c r="I415" t="s">
        <v>20</v>
      </c>
      <c r="J415" s="7">
        <v>46138</v>
      </c>
      <c r="K415">
        <v>9000000</v>
      </c>
      <c r="L415" t="s">
        <v>52</v>
      </c>
    </row>
    <row r="416" spans="1:12" x14ac:dyDescent="0.3">
      <c r="A416" t="s">
        <v>460</v>
      </c>
      <c r="B416" s="7">
        <v>45550</v>
      </c>
      <c r="C416" t="s">
        <v>13</v>
      </c>
      <c r="D416" t="s">
        <v>23</v>
      </c>
      <c r="E416" t="s">
        <v>24</v>
      </c>
      <c r="F416" t="s">
        <v>33</v>
      </c>
      <c r="G416">
        <v>8550000</v>
      </c>
      <c r="H416">
        <v>8550000</v>
      </c>
      <c r="I416" t="s">
        <v>20</v>
      </c>
      <c r="J416" s="7">
        <v>45736</v>
      </c>
      <c r="K416">
        <v>8500000</v>
      </c>
      <c r="L416" t="s">
        <v>502</v>
      </c>
    </row>
    <row r="417" spans="1:12" x14ac:dyDescent="0.3">
      <c r="A417" t="s">
        <v>461</v>
      </c>
      <c r="B417" s="7">
        <v>45292</v>
      </c>
      <c r="C417" t="s">
        <v>35</v>
      </c>
      <c r="D417" t="s">
        <v>23</v>
      </c>
      <c r="E417" t="s">
        <v>24</v>
      </c>
      <c r="F417" t="s">
        <v>51</v>
      </c>
      <c r="G417">
        <v>12200000</v>
      </c>
      <c r="H417">
        <v>2850000</v>
      </c>
      <c r="I417" t="s">
        <v>26</v>
      </c>
      <c r="J417" s="7">
        <v>46163</v>
      </c>
      <c r="K417">
        <v>9000000</v>
      </c>
      <c r="L417" t="s">
        <v>29</v>
      </c>
    </row>
    <row r="418" spans="1:12" x14ac:dyDescent="0.3">
      <c r="A418" t="s">
        <v>462</v>
      </c>
      <c r="B418" s="7">
        <v>45478</v>
      </c>
      <c r="C418" t="s">
        <v>13</v>
      </c>
      <c r="D418" t="s">
        <v>23</v>
      </c>
      <c r="E418" t="s">
        <v>24</v>
      </c>
      <c r="F418" t="s">
        <v>33</v>
      </c>
      <c r="G418">
        <v>7800000</v>
      </c>
      <c r="H418">
        <v>0</v>
      </c>
      <c r="I418" t="s">
        <v>17</v>
      </c>
      <c r="J418" s="7">
        <v>45785</v>
      </c>
      <c r="K418">
        <v>8500000</v>
      </c>
      <c r="L418" t="s">
        <v>18</v>
      </c>
    </row>
    <row r="419" spans="1:12" x14ac:dyDescent="0.3">
      <c r="A419" t="s">
        <v>463</v>
      </c>
      <c r="B419" s="7">
        <v>45317</v>
      </c>
      <c r="C419" t="s">
        <v>31</v>
      </c>
      <c r="D419" t="s">
        <v>23</v>
      </c>
      <c r="E419" t="s">
        <v>24</v>
      </c>
      <c r="F419" t="s">
        <v>51</v>
      </c>
      <c r="G419">
        <v>12800000</v>
      </c>
      <c r="H419">
        <v>1400000</v>
      </c>
      <c r="I419" t="s">
        <v>26</v>
      </c>
      <c r="J419" s="7">
        <v>46196</v>
      </c>
      <c r="K419">
        <v>7500000</v>
      </c>
      <c r="L419" t="s">
        <v>502</v>
      </c>
    </row>
    <row r="420" spans="1:12" x14ac:dyDescent="0.3">
      <c r="A420" t="s">
        <v>464</v>
      </c>
      <c r="B420" s="7">
        <v>45644</v>
      </c>
      <c r="C420" t="s">
        <v>22</v>
      </c>
      <c r="D420" t="s">
        <v>23</v>
      </c>
      <c r="E420" t="s">
        <v>24</v>
      </c>
      <c r="F420" t="s">
        <v>25</v>
      </c>
      <c r="G420">
        <v>2600000</v>
      </c>
      <c r="H420">
        <v>450000</v>
      </c>
      <c r="I420" t="s">
        <v>26</v>
      </c>
      <c r="J420" s="7">
        <v>45901</v>
      </c>
      <c r="K420">
        <v>8000000</v>
      </c>
      <c r="L420" t="s">
        <v>40</v>
      </c>
    </row>
    <row r="421" spans="1:12" x14ac:dyDescent="0.3">
      <c r="A421" t="s">
        <v>465</v>
      </c>
      <c r="B421" s="7">
        <v>45335</v>
      </c>
      <c r="C421" t="s">
        <v>28</v>
      </c>
      <c r="D421" t="s">
        <v>14</v>
      </c>
      <c r="E421" t="s">
        <v>15</v>
      </c>
      <c r="F421" t="s">
        <v>33</v>
      </c>
      <c r="G421">
        <v>6800000</v>
      </c>
      <c r="H421">
        <v>6800000</v>
      </c>
      <c r="I421" t="s">
        <v>20</v>
      </c>
      <c r="J421" s="7">
        <v>45789</v>
      </c>
      <c r="K421">
        <v>7000000</v>
      </c>
      <c r="L421" t="s">
        <v>52</v>
      </c>
    </row>
    <row r="422" spans="1:12" x14ac:dyDescent="0.3">
      <c r="A422" t="s">
        <v>466</v>
      </c>
      <c r="B422" s="7">
        <v>45383</v>
      </c>
      <c r="C422" t="s">
        <v>22</v>
      </c>
      <c r="D422" t="s">
        <v>44</v>
      </c>
      <c r="E422" t="s">
        <v>45</v>
      </c>
      <c r="F422" t="s">
        <v>16</v>
      </c>
      <c r="G422">
        <v>4500000</v>
      </c>
      <c r="H422">
        <v>4500000</v>
      </c>
      <c r="I422" t="s">
        <v>20</v>
      </c>
      <c r="J422" s="7">
        <v>46197</v>
      </c>
      <c r="K422">
        <v>8000000</v>
      </c>
      <c r="L422" t="s">
        <v>502</v>
      </c>
    </row>
    <row r="423" spans="1:12" x14ac:dyDescent="0.3">
      <c r="A423" t="s">
        <v>467</v>
      </c>
      <c r="B423" s="7">
        <v>45595</v>
      </c>
      <c r="C423" t="s">
        <v>31</v>
      </c>
      <c r="D423" t="s">
        <v>23</v>
      </c>
      <c r="E423" t="s">
        <v>24</v>
      </c>
      <c r="F423" t="s">
        <v>51</v>
      </c>
      <c r="G423">
        <v>10500000</v>
      </c>
      <c r="H423">
        <v>3500000</v>
      </c>
      <c r="I423" t="s">
        <v>26</v>
      </c>
      <c r="J423" s="7">
        <v>46130</v>
      </c>
      <c r="K423">
        <v>7500000</v>
      </c>
      <c r="L423" t="s">
        <v>502</v>
      </c>
    </row>
    <row r="424" spans="1:12" x14ac:dyDescent="0.3">
      <c r="A424" t="s">
        <v>468</v>
      </c>
      <c r="B424" s="7">
        <v>45511</v>
      </c>
      <c r="C424" t="s">
        <v>35</v>
      </c>
      <c r="D424" t="s">
        <v>23</v>
      </c>
      <c r="E424" t="s">
        <v>24</v>
      </c>
      <c r="F424" t="s">
        <v>25</v>
      </c>
      <c r="G424">
        <v>3400000</v>
      </c>
      <c r="H424">
        <v>1200000</v>
      </c>
      <c r="I424" t="s">
        <v>26</v>
      </c>
      <c r="J424" s="7">
        <v>45799</v>
      </c>
      <c r="K424">
        <v>9000000</v>
      </c>
      <c r="L424" t="s">
        <v>502</v>
      </c>
    </row>
    <row r="425" spans="1:12" x14ac:dyDescent="0.3">
      <c r="A425" t="s">
        <v>469</v>
      </c>
      <c r="B425" s="7">
        <v>45477</v>
      </c>
      <c r="C425" t="s">
        <v>28</v>
      </c>
      <c r="D425" t="s">
        <v>14</v>
      </c>
      <c r="E425" t="s">
        <v>15</v>
      </c>
      <c r="F425" t="s">
        <v>51</v>
      </c>
      <c r="G425">
        <v>10650000</v>
      </c>
      <c r="H425">
        <v>10650000</v>
      </c>
      <c r="I425" t="s">
        <v>20</v>
      </c>
      <c r="J425" s="7">
        <v>46162</v>
      </c>
      <c r="K425">
        <v>7000000</v>
      </c>
      <c r="L425" t="s">
        <v>42</v>
      </c>
    </row>
    <row r="426" spans="1:12" x14ac:dyDescent="0.3">
      <c r="A426" t="s">
        <v>470</v>
      </c>
      <c r="B426" s="7">
        <v>45304</v>
      </c>
      <c r="C426" t="s">
        <v>22</v>
      </c>
      <c r="D426" t="s">
        <v>23</v>
      </c>
      <c r="E426" t="s">
        <v>24</v>
      </c>
      <c r="F426" t="s">
        <v>33</v>
      </c>
      <c r="G426">
        <v>6800000</v>
      </c>
      <c r="H426">
        <v>1550000</v>
      </c>
      <c r="I426" t="s">
        <v>26</v>
      </c>
      <c r="J426" s="7">
        <v>46128</v>
      </c>
      <c r="K426">
        <v>8000000</v>
      </c>
      <c r="L426" t="s">
        <v>29</v>
      </c>
    </row>
    <row r="427" spans="1:12" x14ac:dyDescent="0.3">
      <c r="A427" t="s">
        <v>471</v>
      </c>
      <c r="B427" s="7">
        <v>45495</v>
      </c>
      <c r="C427" t="s">
        <v>13</v>
      </c>
      <c r="D427" t="s">
        <v>23</v>
      </c>
      <c r="E427" t="s">
        <v>24</v>
      </c>
      <c r="F427" t="s">
        <v>51</v>
      </c>
      <c r="G427">
        <v>10100000</v>
      </c>
      <c r="H427">
        <v>10100000</v>
      </c>
      <c r="I427" t="s">
        <v>20</v>
      </c>
      <c r="J427" s="7">
        <v>45999</v>
      </c>
      <c r="K427">
        <v>8500000</v>
      </c>
      <c r="L427" t="s">
        <v>38</v>
      </c>
    </row>
    <row r="428" spans="1:12" x14ac:dyDescent="0.3">
      <c r="A428" t="s">
        <v>472</v>
      </c>
      <c r="B428" s="7">
        <v>45348</v>
      </c>
      <c r="C428" t="s">
        <v>28</v>
      </c>
      <c r="D428" t="s">
        <v>14</v>
      </c>
      <c r="E428" t="s">
        <v>15</v>
      </c>
      <c r="F428" t="s">
        <v>16</v>
      </c>
      <c r="G428">
        <v>5500000</v>
      </c>
      <c r="H428">
        <v>0</v>
      </c>
      <c r="I428" t="s">
        <v>17</v>
      </c>
      <c r="J428" s="7">
        <v>45933</v>
      </c>
      <c r="K428">
        <v>7000000</v>
      </c>
      <c r="L428" t="s">
        <v>38</v>
      </c>
    </row>
    <row r="429" spans="1:12" x14ac:dyDescent="0.3">
      <c r="A429" t="s">
        <v>473</v>
      </c>
      <c r="B429" s="7">
        <v>45636</v>
      </c>
      <c r="C429" t="s">
        <v>28</v>
      </c>
      <c r="D429" t="s">
        <v>23</v>
      </c>
      <c r="E429" t="s">
        <v>24</v>
      </c>
      <c r="F429" t="s">
        <v>51</v>
      </c>
      <c r="G429">
        <v>11450000</v>
      </c>
      <c r="H429">
        <v>11450000</v>
      </c>
      <c r="I429" t="s">
        <v>20</v>
      </c>
      <c r="J429" s="7">
        <v>46287</v>
      </c>
      <c r="K429">
        <v>7000000</v>
      </c>
      <c r="L429" t="s">
        <v>40</v>
      </c>
    </row>
    <row r="430" spans="1:12" x14ac:dyDescent="0.3">
      <c r="A430" t="s">
        <v>474</v>
      </c>
      <c r="B430" s="7">
        <v>45522</v>
      </c>
      <c r="C430" t="s">
        <v>13</v>
      </c>
      <c r="D430" t="s">
        <v>23</v>
      </c>
      <c r="E430" t="s">
        <v>24</v>
      </c>
      <c r="F430" t="s">
        <v>16</v>
      </c>
      <c r="G430">
        <v>4400000</v>
      </c>
      <c r="H430">
        <v>0</v>
      </c>
      <c r="I430" t="s">
        <v>17</v>
      </c>
      <c r="J430" s="7">
        <v>46301</v>
      </c>
      <c r="K430">
        <v>8500000</v>
      </c>
      <c r="L430" t="s">
        <v>502</v>
      </c>
    </row>
    <row r="431" spans="1:12" x14ac:dyDescent="0.3">
      <c r="A431" t="s">
        <v>475</v>
      </c>
      <c r="B431" s="7">
        <v>45424</v>
      </c>
      <c r="C431" t="s">
        <v>31</v>
      </c>
      <c r="D431" t="s">
        <v>14</v>
      </c>
      <c r="E431" t="s">
        <v>15</v>
      </c>
      <c r="F431" t="s">
        <v>16</v>
      </c>
      <c r="G431">
        <v>4800000</v>
      </c>
      <c r="H431">
        <v>1150000</v>
      </c>
      <c r="I431" t="s">
        <v>26</v>
      </c>
      <c r="J431" s="7">
        <v>46299</v>
      </c>
      <c r="K431">
        <v>7500000</v>
      </c>
      <c r="L431" t="s">
        <v>502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89382-B9A2-4C24-A88E-733F95B43C13}">
  <dimension ref="A1:L431"/>
  <sheetViews>
    <sheetView workbookViewId="0">
      <selection sqref="A1:L431"/>
    </sheetView>
  </sheetViews>
  <sheetFormatPr defaultRowHeight="14.4" x14ac:dyDescent="0.3"/>
  <cols>
    <col min="1" max="1" width="12" customWidth="1"/>
    <col min="2" max="2" width="14.109375" style="1" customWidth="1"/>
    <col min="3" max="3" width="16.21875" customWidth="1"/>
    <col min="4" max="4" width="14.6640625" customWidth="1"/>
    <col min="5" max="5" width="10" customWidth="1"/>
    <col min="6" max="6" width="10.77734375" customWidth="1"/>
    <col min="7" max="7" width="16.6640625" customWidth="1"/>
    <col min="8" max="8" width="17.77734375" customWidth="1"/>
    <col min="9" max="9" width="16.33203125" customWidth="1"/>
    <col min="10" max="10" width="16.77734375" style="1" customWidth="1"/>
    <col min="11" max="11" width="13.33203125" customWidth="1"/>
    <col min="12" max="12" width="15.21875" bestFit="1" customWidth="1"/>
  </cols>
  <sheetData>
    <row r="1" spans="1:12" x14ac:dyDescent="0.3">
      <c r="A1" t="s">
        <v>0</v>
      </c>
      <c r="B1" s="1" t="s">
        <v>1</v>
      </c>
      <c r="C1" t="s">
        <v>2</v>
      </c>
      <c r="D1" t="s">
        <v>3</v>
      </c>
      <c r="E1" t="s">
        <v>4</v>
      </c>
      <c r="F1" t="s">
        <v>5</v>
      </c>
      <c r="G1" t="s">
        <v>6</v>
      </c>
      <c r="H1" t="s">
        <v>7</v>
      </c>
      <c r="I1" t="s">
        <v>8</v>
      </c>
      <c r="J1" s="1" t="s">
        <v>9</v>
      </c>
      <c r="K1" t="s">
        <v>10</v>
      </c>
      <c r="L1" t="s">
        <v>11</v>
      </c>
    </row>
    <row r="2" spans="1:12" x14ac:dyDescent="0.3">
      <c r="A2" t="s">
        <v>12</v>
      </c>
      <c r="B2" s="1">
        <v>45575</v>
      </c>
      <c r="C2" t="s">
        <v>13</v>
      </c>
      <c r="D2" t="s">
        <v>14</v>
      </c>
      <c r="E2" t="s">
        <v>15</v>
      </c>
      <c r="F2" t="s">
        <v>16</v>
      </c>
      <c r="G2">
        <v>5900000</v>
      </c>
      <c r="H2">
        <v>0</v>
      </c>
      <c r="I2" t="s">
        <v>17</v>
      </c>
      <c r="J2" s="1">
        <v>46082</v>
      </c>
      <c r="K2">
        <v>8500000</v>
      </c>
      <c r="L2" t="s">
        <v>18</v>
      </c>
    </row>
    <row r="3" spans="1:12" x14ac:dyDescent="0.3">
      <c r="A3" t="s">
        <v>19</v>
      </c>
      <c r="B3" s="1">
        <v>45508</v>
      </c>
      <c r="C3" t="s">
        <v>13</v>
      </c>
      <c r="D3" t="s">
        <v>14</v>
      </c>
      <c r="E3" t="s">
        <v>15</v>
      </c>
      <c r="F3" t="s">
        <v>16</v>
      </c>
      <c r="G3">
        <v>4200000</v>
      </c>
      <c r="H3">
        <v>4200000</v>
      </c>
      <c r="I3" t="s">
        <v>20</v>
      </c>
      <c r="J3" s="1">
        <v>45768</v>
      </c>
      <c r="K3">
        <v>8500000</v>
      </c>
    </row>
    <row r="4" spans="1:12" x14ac:dyDescent="0.3">
      <c r="A4" t="s">
        <v>21</v>
      </c>
      <c r="B4" s="1">
        <v>45387</v>
      </c>
      <c r="C4" t="s">
        <v>22</v>
      </c>
      <c r="D4" t="s">
        <v>23</v>
      </c>
      <c r="E4" t="s">
        <v>24</v>
      </c>
      <c r="F4" t="s">
        <v>25</v>
      </c>
      <c r="G4">
        <v>3500000</v>
      </c>
      <c r="H4">
        <v>900000</v>
      </c>
      <c r="I4" t="s">
        <v>26</v>
      </c>
      <c r="J4" s="1">
        <v>46086</v>
      </c>
      <c r="K4">
        <v>8000000</v>
      </c>
    </row>
    <row r="5" spans="1:12" x14ac:dyDescent="0.3">
      <c r="A5" t="s">
        <v>27</v>
      </c>
      <c r="B5" s="1">
        <v>45302</v>
      </c>
      <c r="C5" t="s">
        <v>28</v>
      </c>
      <c r="D5" t="s">
        <v>14</v>
      </c>
      <c r="E5" t="s">
        <v>15</v>
      </c>
      <c r="F5" t="s">
        <v>16</v>
      </c>
      <c r="G5">
        <v>5400000</v>
      </c>
      <c r="H5">
        <v>5400000</v>
      </c>
      <c r="I5" t="s">
        <v>20</v>
      </c>
      <c r="J5" s="1">
        <v>46059</v>
      </c>
      <c r="K5">
        <v>7000000</v>
      </c>
      <c r="L5" t="s">
        <v>29</v>
      </c>
    </row>
    <row r="6" spans="1:12" x14ac:dyDescent="0.3">
      <c r="A6" t="s">
        <v>30</v>
      </c>
      <c r="B6" s="1">
        <v>45555</v>
      </c>
      <c r="C6" t="s">
        <v>31</v>
      </c>
      <c r="D6" t="s">
        <v>23</v>
      </c>
      <c r="E6" t="s">
        <v>24</v>
      </c>
      <c r="F6" t="s">
        <v>16</v>
      </c>
      <c r="G6">
        <v>5150000</v>
      </c>
      <c r="H6">
        <v>5150000</v>
      </c>
      <c r="I6" t="s">
        <v>20</v>
      </c>
      <c r="J6" s="1">
        <v>46319</v>
      </c>
      <c r="K6">
        <v>7500000</v>
      </c>
    </row>
    <row r="7" spans="1:12" x14ac:dyDescent="0.3">
      <c r="A7" t="s">
        <v>32</v>
      </c>
      <c r="B7" s="1">
        <v>45485</v>
      </c>
      <c r="C7" t="s">
        <v>13</v>
      </c>
      <c r="D7" t="s">
        <v>14</v>
      </c>
      <c r="E7" t="s">
        <v>15</v>
      </c>
      <c r="F7" t="s">
        <v>33</v>
      </c>
      <c r="G7">
        <v>7950000</v>
      </c>
      <c r="H7">
        <v>7950000</v>
      </c>
      <c r="I7" t="s">
        <v>20</v>
      </c>
      <c r="J7" s="1">
        <v>45847</v>
      </c>
      <c r="K7">
        <v>8500000</v>
      </c>
    </row>
    <row r="8" spans="1:12" x14ac:dyDescent="0.3">
      <c r="A8" t="s">
        <v>34</v>
      </c>
      <c r="B8" s="1">
        <v>45519</v>
      </c>
      <c r="C8" t="s">
        <v>35</v>
      </c>
      <c r="D8" t="s">
        <v>14</v>
      </c>
      <c r="E8" t="s">
        <v>15</v>
      </c>
      <c r="F8" t="s">
        <v>16</v>
      </c>
      <c r="G8">
        <v>4200000</v>
      </c>
      <c r="H8">
        <v>4200000</v>
      </c>
      <c r="I8" t="s">
        <v>20</v>
      </c>
      <c r="J8" s="1">
        <v>46140</v>
      </c>
      <c r="K8">
        <v>9000000</v>
      </c>
    </row>
    <row r="9" spans="1:12" x14ac:dyDescent="0.3">
      <c r="A9" t="s">
        <v>36</v>
      </c>
      <c r="B9" s="1">
        <v>45515</v>
      </c>
      <c r="C9" t="s">
        <v>13</v>
      </c>
      <c r="D9" t="s">
        <v>23</v>
      </c>
      <c r="E9" t="s">
        <v>24</v>
      </c>
      <c r="F9" t="s">
        <v>16</v>
      </c>
      <c r="G9">
        <v>4400000</v>
      </c>
      <c r="H9">
        <v>1350000</v>
      </c>
      <c r="I9" t="s">
        <v>26</v>
      </c>
      <c r="J9" s="1">
        <v>46071</v>
      </c>
      <c r="K9">
        <v>8500000</v>
      </c>
    </row>
    <row r="10" spans="1:12" x14ac:dyDescent="0.3">
      <c r="A10" t="s">
        <v>37</v>
      </c>
      <c r="B10" s="1">
        <v>45544</v>
      </c>
      <c r="C10" t="s">
        <v>31</v>
      </c>
      <c r="D10" t="s">
        <v>23</v>
      </c>
      <c r="E10" t="s">
        <v>24</v>
      </c>
      <c r="F10" t="s">
        <v>16</v>
      </c>
      <c r="G10">
        <v>4900000</v>
      </c>
      <c r="H10">
        <v>4900000</v>
      </c>
      <c r="I10" t="s">
        <v>20</v>
      </c>
      <c r="J10" s="1">
        <v>46219</v>
      </c>
      <c r="K10">
        <v>7500000</v>
      </c>
      <c r="L10" t="s">
        <v>38</v>
      </c>
    </row>
    <row r="11" spans="1:12" x14ac:dyDescent="0.3">
      <c r="A11" t="s">
        <v>39</v>
      </c>
      <c r="B11" s="1">
        <v>45462</v>
      </c>
      <c r="C11" t="s">
        <v>31</v>
      </c>
      <c r="D11" t="s">
        <v>14</v>
      </c>
      <c r="E11" t="s">
        <v>15</v>
      </c>
      <c r="F11" t="s">
        <v>33</v>
      </c>
      <c r="G11">
        <v>8650000</v>
      </c>
      <c r="H11">
        <v>8650000</v>
      </c>
      <c r="I11" t="s">
        <v>20</v>
      </c>
      <c r="J11" s="1">
        <v>45999</v>
      </c>
      <c r="K11">
        <v>7500000</v>
      </c>
      <c r="L11" t="s">
        <v>40</v>
      </c>
    </row>
    <row r="12" spans="1:12" x14ac:dyDescent="0.3">
      <c r="A12" t="s">
        <v>41</v>
      </c>
      <c r="B12" s="1">
        <v>45529</v>
      </c>
      <c r="C12" t="s">
        <v>35</v>
      </c>
      <c r="D12" t="s">
        <v>14</v>
      </c>
      <c r="E12" t="s">
        <v>15</v>
      </c>
      <c r="F12" t="s">
        <v>16</v>
      </c>
      <c r="G12">
        <v>5700000</v>
      </c>
      <c r="H12">
        <v>0</v>
      </c>
      <c r="I12" t="s">
        <v>17</v>
      </c>
      <c r="J12" s="1">
        <v>46020</v>
      </c>
      <c r="K12">
        <v>9000000</v>
      </c>
      <c r="L12" t="s">
        <v>42</v>
      </c>
    </row>
    <row r="13" spans="1:12" x14ac:dyDescent="0.3">
      <c r="A13" t="s">
        <v>43</v>
      </c>
      <c r="B13" s="1">
        <v>45524</v>
      </c>
      <c r="C13" t="s">
        <v>35</v>
      </c>
      <c r="D13" t="s">
        <v>44</v>
      </c>
      <c r="E13" t="s">
        <v>45</v>
      </c>
      <c r="F13" t="s">
        <v>16</v>
      </c>
      <c r="G13">
        <v>5250000</v>
      </c>
      <c r="H13">
        <v>1800000</v>
      </c>
      <c r="I13" t="s">
        <v>26</v>
      </c>
      <c r="J13" s="1">
        <v>46084</v>
      </c>
      <c r="K13">
        <v>9000000</v>
      </c>
      <c r="L13" t="s">
        <v>38</v>
      </c>
    </row>
    <row r="14" spans="1:12" x14ac:dyDescent="0.3">
      <c r="A14" t="s">
        <v>46</v>
      </c>
      <c r="B14" s="1">
        <v>45471</v>
      </c>
      <c r="C14" t="s">
        <v>13</v>
      </c>
      <c r="D14" t="s">
        <v>23</v>
      </c>
      <c r="E14" t="s">
        <v>24</v>
      </c>
      <c r="F14" t="s">
        <v>33</v>
      </c>
      <c r="G14">
        <v>8300000</v>
      </c>
      <c r="H14">
        <v>8300000</v>
      </c>
      <c r="I14" t="s">
        <v>20</v>
      </c>
      <c r="J14" s="1">
        <v>46305</v>
      </c>
      <c r="K14">
        <v>8500000</v>
      </c>
      <c r="L14" t="s">
        <v>42</v>
      </c>
    </row>
    <row r="15" spans="1:12" x14ac:dyDescent="0.3">
      <c r="A15" t="s">
        <v>47</v>
      </c>
      <c r="B15" s="1">
        <v>45428</v>
      </c>
      <c r="C15" t="s">
        <v>28</v>
      </c>
      <c r="D15" t="s">
        <v>44</v>
      </c>
      <c r="E15" t="s">
        <v>45</v>
      </c>
      <c r="F15" t="s">
        <v>25</v>
      </c>
      <c r="G15">
        <v>3300000</v>
      </c>
      <c r="H15">
        <v>3300000</v>
      </c>
      <c r="I15" t="s">
        <v>20</v>
      </c>
      <c r="J15" s="1">
        <v>46197</v>
      </c>
      <c r="K15">
        <v>7000000</v>
      </c>
    </row>
    <row r="16" spans="1:12" x14ac:dyDescent="0.3">
      <c r="A16" t="s">
        <v>48</v>
      </c>
      <c r="B16" s="1">
        <v>45365</v>
      </c>
      <c r="C16" t="s">
        <v>35</v>
      </c>
      <c r="D16" t="s">
        <v>23</v>
      </c>
      <c r="E16" t="s">
        <v>24</v>
      </c>
      <c r="F16" t="s">
        <v>33</v>
      </c>
      <c r="G16">
        <v>8950000</v>
      </c>
      <c r="H16">
        <v>3300000</v>
      </c>
      <c r="I16" t="s">
        <v>26</v>
      </c>
      <c r="J16" s="1">
        <v>45953</v>
      </c>
      <c r="K16">
        <v>9000000</v>
      </c>
      <c r="L16" t="s">
        <v>40</v>
      </c>
    </row>
    <row r="17" spans="1:12" x14ac:dyDescent="0.3">
      <c r="A17" t="s">
        <v>49</v>
      </c>
      <c r="B17" s="1">
        <v>45574</v>
      </c>
      <c r="C17" t="s">
        <v>13</v>
      </c>
      <c r="D17" t="s">
        <v>23</v>
      </c>
      <c r="E17" t="s">
        <v>24</v>
      </c>
      <c r="F17" t="s">
        <v>33</v>
      </c>
      <c r="G17">
        <v>7700000</v>
      </c>
      <c r="H17">
        <v>7700000</v>
      </c>
      <c r="I17" t="s">
        <v>20</v>
      </c>
      <c r="J17" s="1">
        <v>46268</v>
      </c>
      <c r="K17">
        <v>8500000</v>
      </c>
    </row>
    <row r="18" spans="1:12" x14ac:dyDescent="0.3">
      <c r="A18" t="s">
        <v>50</v>
      </c>
      <c r="B18" s="1">
        <v>45568</v>
      </c>
      <c r="C18" t="s">
        <v>28</v>
      </c>
      <c r="D18" t="s">
        <v>23</v>
      </c>
      <c r="E18" t="s">
        <v>24</v>
      </c>
      <c r="F18" t="s">
        <v>51</v>
      </c>
      <c r="G18">
        <v>10600000</v>
      </c>
      <c r="H18">
        <v>2250000</v>
      </c>
      <c r="I18" t="s">
        <v>26</v>
      </c>
      <c r="J18" s="1">
        <v>45914</v>
      </c>
      <c r="K18">
        <v>7000000</v>
      </c>
      <c r="L18" t="s">
        <v>52</v>
      </c>
    </row>
    <row r="19" spans="1:12" x14ac:dyDescent="0.3">
      <c r="A19" t="s">
        <v>53</v>
      </c>
      <c r="B19" s="1">
        <v>45313</v>
      </c>
      <c r="C19" t="s">
        <v>13</v>
      </c>
      <c r="D19" t="s">
        <v>23</v>
      </c>
      <c r="E19" t="s">
        <v>24</v>
      </c>
      <c r="F19" t="s">
        <v>25</v>
      </c>
      <c r="G19">
        <v>3250000</v>
      </c>
      <c r="H19">
        <v>0</v>
      </c>
      <c r="I19" t="s">
        <v>17</v>
      </c>
      <c r="J19" s="1">
        <v>45746</v>
      </c>
      <c r="K19">
        <v>8500000</v>
      </c>
      <c r="L19" t="s">
        <v>18</v>
      </c>
    </row>
    <row r="20" spans="1:12" x14ac:dyDescent="0.3">
      <c r="A20" t="s">
        <v>54</v>
      </c>
      <c r="B20" s="1">
        <v>45522</v>
      </c>
      <c r="C20" t="s">
        <v>28</v>
      </c>
      <c r="D20" t="s">
        <v>14</v>
      </c>
      <c r="E20" t="s">
        <v>15</v>
      </c>
      <c r="F20" t="s">
        <v>16</v>
      </c>
      <c r="G20">
        <v>4600000</v>
      </c>
      <c r="H20">
        <v>0</v>
      </c>
      <c r="I20" t="s">
        <v>17</v>
      </c>
      <c r="J20" s="1">
        <v>45991</v>
      </c>
      <c r="K20">
        <v>7000000</v>
      </c>
    </row>
    <row r="21" spans="1:12" x14ac:dyDescent="0.3">
      <c r="A21" t="s">
        <v>55</v>
      </c>
      <c r="B21" s="1">
        <v>45427</v>
      </c>
      <c r="C21" t="s">
        <v>13</v>
      </c>
      <c r="D21" t="s">
        <v>56</v>
      </c>
      <c r="E21" t="s">
        <v>24</v>
      </c>
      <c r="F21" t="s">
        <v>16</v>
      </c>
      <c r="G21">
        <v>4650000</v>
      </c>
      <c r="H21">
        <v>4650000</v>
      </c>
      <c r="I21" t="s">
        <v>20</v>
      </c>
      <c r="J21" s="1">
        <v>45616</v>
      </c>
      <c r="K21">
        <v>8500000</v>
      </c>
    </row>
    <row r="22" spans="1:12" x14ac:dyDescent="0.3">
      <c r="A22" t="s">
        <v>57</v>
      </c>
      <c r="B22" s="1">
        <v>45596</v>
      </c>
      <c r="C22" t="s">
        <v>58</v>
      </c>
      <c r="D22" t="s">
        <v>14</v>
      </c>
      <c r="E22" t="s">
        <v>15</v>
      </c>
      <c r="F22" t="s">
        <v>33</v>
      </c>
      <c r="G22">
        <v>8000000</v>
      </c>
      <c r="H22">
        <v>8000000</v>
      </c>
      <c r="I22" t="s">
        <v>20</v>
      </c>
      <c r="J22" s="1">
        <v>46438</v>
      </c>
      <c r="K22">
        <v>8000000</v>
      </c>
      <c r="L22" t="s">
        <v>42</v>
      </c>
    </row>
    <row r="23" spans="1:12" x14ac:dyDescent="0.3">
      <c r="A23" t="s">
        <v>59</v>
      </c>
      <c r="B23" s="1">
        <v>45331</v>
      </c>
      <c r="C23" t="s">
        <v>28</v>
      </c>
      <c r="D23" t="s">
        <v>14</v>
      </c>
      <c r="E23" t="s">
        <v>15</v>
      </c>
      <c r="F23" t="s">
        <v>16</v>
      </c>
      <c r="G23">
        <v>4450000</v>
      </c>
      <c r="H23">
        <v>1750000</v>
      </c>
      <c r="I23" t="s">
        <v>26</v>
      </c>
      <c r="J23" s="1">
        <v>45921</v>
      </c>
      <c r="K23">
        <v>7000000</v>
      </c>
      <c r="L23" t="s">
        <v>38</v>
      </c>
    </row>
    <row r="24" spans="1:12" x14ac:dyDescent="0.3">
      <c r="A24" t="s">
        <v>60</v>
      </c>
      <c r="B24" s="1">
        <v>45532</v>
      </c>
      <c r="C24" t="s">
        <v>13</v>
      </c>
      <c r="D24" t="s">
        <v>14</v>
      </c>
      <c r="E24" t="s">
        <v>15</v>
      </c>
      <c r="F24" t="s">
        <v>25</v>
      </c>
      <c r="G24">
        <v>2750000</v>
      </c>
      <c r="H24">
        <v>350000</v>
      </c>
      <c r="I24" t="s">
        <v>26</v>
      </c>
      <c r="J24" s="1">
        <v>45778</v>
      </c>
      <c r="K24">
        <v>8500000</v>
      </c>
    </row>
    <row r="25" spans="1:12" x14ac:dyDescent="0.3">
      <c r="A25" t="s">
        <v>61</v>
      </c>
      <c r="B25" s="1">
        <v>45378</v>
      </c>
      <c r="C25" t="s">
        <v>35</v>
      </c>
      <c r="D25" t="s">
        <v>23</v>
      </c>
      <c r="E25" t="s">
        <v>24</v>
      </c>
      <c r="F25" t="s">
        <v>16</v>
      </c>
      <c r="G25">
        <v>5200000</v>
      </c>
      <c r="H25">
        <v>5200000</v>
      </c>
      <c r="I25" t="s">
        <v>20</v>
      </c>
      <c r="J25" s="1">
        <v>46084</v>
      </c>
      <c r="K25">
        <v>9000000</v>
      </c>
      <c r="L25" t="s">
        <v>38</v>
      </c>
    </row>
    <row r="26" spans="1:12" x14ac:dyDescent="0.3">
      <c r="A26" t="s">
        <v>62</v>
      </c>
      <c r="B26" s="1">
        <v>45619</v>
      </c>
      <c r="C26" t="s">
        <v>22</v>
      </c>
      <c r="D26" t="s">
        <v>23</v>
      </c>
      <c r="E26" t="s">
        <v>24</v>
      </c>
      <c r="F26" t="s">
        <v>16</v>
      </c>
      <c r="G26">
        <v>4450000</v>
      </c>
      <c r="H26">
        <v>4450000</v>
      </c>
      <c r="I26" t="s">
        <v>20</v>
      </c>
      <c r="J26" s="1">
        <v>45903</v>
      </c>
      <c r="K26">
        <v>8000000</v>
      </c>
    </row>
    <row r="27" spans="1:12" x14ac:dyDescent="0.3">
      <c r="A27" t="s">
        <v>63</v>
      </c>
      <c r="B27" s="1">
        <v>45550</v>
      </c>
      <c r="C27" t="s">
        <v>13</v>
      </c>
      <c r="D27" t="s">
        <v>23</v>
      </c>
      <c r="E27" t="s">
        <v>24</v>
      </c>
      <c r="F27" t="s">
        <v>51</v>
      </c>
      <c r="G27">
        <v>10500000</v>
      </c>
      <c r="H27">
        <v>10500000</v>
      </c>
      <c r="I27" t="s">
        <v>20</v>
      </c>
      <c r="J27" s="1">
        <v>45829</v>
      </c>
      <c r="K27">
        <v>8500000</v>
      </c>
    </row>
    <row r="28" spans="1:12" x14ac:dyDescent="0.3">
      <c r="A28" t="s">
        <v>64</v>
      </c>
      <c r="B28" s="1">
        <v>45296</v>
      </c>
      <c r="C28" t="s">
        <v>22</v>
      </c>
      <c r="D28" t="s">
        <v>14</v>
      </c>
      <c r="E28" t="s">
        <v>15</v>
      </c>
      <c r="F28" t="s">
        <v>33</v>
      </c>
      <c r="G28">
        <v>6650000</v>
      </c>
      <c r="H28">
        <v>6650000</v>
      </c>
      <c r="I28" t="s">
        <v>20</v>
      </c>
      <c r="J28" s="1">
        <v>46072</v>
      </c>
      <c r="K28">
        <v>8000000</v>
      </c>
    </row>
    <row r="29" spans="1:12" x14ac:dyDescent="0.3">
      <c r="A29" t="s">
        <v>65</v>
      </c>
      <c r="B29" s="1">
        <v>45572</v>
      </c>
      <c r="C29" t="s">
        <v>66</v>
      </c>
      <c r="D29" t="s">
        <v>23</v>
      </c>
      <c r="E29" t="s">
        <v>24</v>
      </c>
      <c r="F29" t="s">
        <v>51</v>
      </c>
      <c r="G29">
        <v>12400000</v>
      </c>
      <c r="H29">
        <v>0</v>
      </c>
      <c r="I29" t="s">
        <v>17</v>
      </c>
      <c r="J29" s="1">
        <v>45801</v>
      </c>
      <c r="K29">
        <v>7000000</v>
      </c>
      <c r="L29" t="s">
        <v>42</v>
      </c>
    </row>
    <row r="30" spans="1:12" x14ac:dyDescent="0.3">
      <c r="A30" t="s">
        <v>67</v>
      </c>
      <c r="B30" s="1">
        <v>45496</v>
      </c>
      <c r="C30" t="s">
        <v>31</v>
      </c>
      <c r="D30" t="s">
        <v>44</v>
      </c>
      <c r="E30" t="s">
        <v>45</v>
      </c>
      <c r="F30" t="s">
        <v>33</v>
      </c>
      <c r="G30">
        <v>6950000</v>
      </c>
      <c r="H30">
        <v>6950000</v>
      </c>
      <c r="I30" t="s">
        <v>20</v>
      </c>
      <c r="J30" s="1">
        <v>45923</v>
      </c>
      <c r="K30">
        <v>7500000</v>
      </c>
    </row>
    <row r="31" spans="1:12" x14ac:dyDescent="0.3">
      <c r="A31" t="s">
        <v>68</v>
      </c>
      <c r="B31" s="1">
        <v>45394</v>
      </c>
      <c r="C31" t="s">
        <v>22</v>
      </c>
      <c r="D31" t="s">
        <v>14</v>
      </c>
      <c r="E31" t="s">
        <v>15</v>
      </c>
      <c r="F31" t="s">
        <v>33</v>
      </c>
      <c r="G31">
        <v>7700000</v>
      </c>
      <c r="H31">
        <v>7700000</v>
      </c>
      <c r="I31" t="s">
        <v>20</v>
      </c>
      <c r="J31" s="1">
        <v>46058</v>
      </c>
      <c r="K31">
        <v>8000000</v>
      </c>
      <c r="L31" t="s">
        <v>38</v>
      </c>
    </row>
    <row r="32" spans="1:12" x14ac:dyDescent="0.3">
      <c r="A32" t="s">
        <v>69</v>
      </c>
      <c r="B32" s="1">
        <v>45305</v>
      </c>
      <c r="C32" t="s">
        <v>28</v>
      </c>
      <c r="D32" t="s">
        <v>44</v>
      </c>
      <c r="E32" t="s">
        <v>45</v>
      </c>
      <c r="F32" t="s">
        <v>16</v>
      </c>
      <c r="G32">
        <v>4050000</v>
      </c>
      <c r="H32">
        <v>4050000</v>
      </c>
      <c r="I32" t="s">
        <v>20</v>
      </c>
      <c r="J32" s="1">
        <v>45764</v>
      </c>
      <c r="K32">
        <v>7000000</v>
      </c>
      <c r="L32" t="s">
        <v>18</v>
      </c>
    </row>
    <row r="33" spans="1:12" x14ac:dyDescent="0.3">
      <c r="A33" t="s">
        <v>70</v>
      </c>
      <c r="B33" s="1">
        <v>45655</v>
      </c>
      <c r="C33" t="s">
        <v>31</v>
      </c>
      <c r="D33" t="s">
        <v>14</v>
      </c>
      <c r="E33" t="s">
        <v>15</v>
      </c>
      <c r="F33" t="s">
        <v>33</v>
      </c>
      <c r="G33">
        <v>8200000</v>
      </c>
      <c r="H33">
        <v>8200000</v>
      </c>
      <c r="I33" t="s">
        <v>20</v>
      </c>
      <c r="J33" s="1">
        <v>46065</v>
      </c>
      <c r="K33">
        <v>7500000</v>
      </c>
      <c r="L33" t="s">
        <v>38</v>
      </c>
    </row>
    <row r="34" spans="1:12" x14ac:dyDescent="0.3">
      <c r="A34" t="s">
        <v>71</v>
      </c>
      <c r="B34" s="1">
        <v>45479</v>
      </c>
      <c r="C34" t="s">
        <v>58</v>
      </c>
      <c r="D34" t="s">
        <v>14</v>
      </c>
      <c r="E34" t="s">
        <v>15</v>
      </c>
      <c r="F34" t="s">
        <v>16</v>
      </c>
      <c r="G34">
        <v>5150000</v>
      </c>
      <c r="H34">
        <v>5150000</v>
      </c>
      <c r="I34" t="s">
        <v>20</v>
      </c>
      <c r="J34" s="1">
        <v>45734</v>
      </c>
      <c r="K34">
        <v>8000000</v>
      </c>
    </row>
    <row r="35" spans="1:12" x14ac:dyDescent="0.3">
      <c r="A35" t="s">
        <v>72</v>
      </c>
      <c r="B35" s="1">
        <v>45445</v>
      </c>
      <c r="C35" t="s">
        <v>31</v>
      </c>
      <c r="D35" t="s">
        <v>23</v>
      </c>
      <c r="E35" t="s">
        <v>24</v>
      </c>
      <c r="F35" t="s">
        <v>33</v>
      </c>
      <c r="G35">
        <v>8750000</v>
      </c>
      <c r="H35">
        <v>8750000</v>
      </c>
      <c r="I35" t="s">
        <v>20</v>
      </c>
      <c r="J35" s="1">
        <v>46018</v>
      </c>
      <c r="K35">
        <v>7500000</v>
      </c>
      <c r="L35" t="s">
        <v>52</v>
      </c>
    </row>
    <row r="36" spans="1:12" x14ac:dyDescent="0.3">
      <c r="A36" t="s">
        <v>73</v>
      </c>
      <c r="B36" s="1">
        <v>45472</v>
      </c>
      <c r="C36" t="s">
        <v>22</v>
      </c>
      <c r="D36" t="s">
        <v>14</v>
      </c>
      <c r="E36" t="s">
        <v>15</v>
      </c>
      <c r="F36" t="s">
        <v>16</v>
      </c>
      <c r="G36">
        <v>5400000</v>
      </c>
      <c r="H36">
        <v>900000</v>
      </c>
      <c r="I36" t="s">
        <v>26</v>
      </c>
      <c r="J36" s="1">
        <v>45762</v>
      </c>
      <c r="K36">
        <v>8000000</v>
      </c>
      <c r="L36" t="s">
        <v>40</v>
      </c>
    </row>
    <row r="37" spans="1:12" x14ac:dyDescent="0.3">
      <c r="A37" t="s">
        <v>74</v>
      </c>
      <c r="B37" s="1">
        <v>45522</v>
      </c>
      <c r="C37" t="s">
        <v>35</v>
      </c>
      <c r="D37" t="s">
        <v>14</v>
      </c>
      <c r="E37" t="s">
        <v>15</v>
      </c>
      <c r="F37" t="s">
        <v>25</v>
      </c>
      <c r="G37">
        <v>2800000</v>
      </c>
      <c r="H37">
        <v>850000</v>
      </c>
      <c r="I37" t="s">
        <v>26</v>
      </c>
      <c r="J37" s="1">
        <v>46319</v>
      </c>
      <c r="K37">
        <v>9000000</v>
      </c>
      <c r="L37" t="s">
        <v>42</v>
      </c>
    </row>
    <row r="38" spans="1:12" x14ac:dyDescent="0.3">
      <c r="A38" t="s">
        <v>75</v>
      </c>
      <c r="B38" s="1">
        <v>45502</v>
      </c>
      <c r="C38" t="s">
        <v>35</v>
      </c>
      <c r="D38" t="s">
        <v>23</v>
      </c>
      <c r="E38" t="s">
        <v>24</v>
      </c>
      <c r="F38" t="s">
        <v>51</v>
      </c>
      <c r="G38">
        <v>9950000</v>
      </c>
      <c r="H38">
        <v>9950000</v>
      </c>
      <c r="I38" t="s">
        <v>20</v>
      </c>
      <c r="J38" s="1">
        <v>46296</v>
      </c>
      <c r="K38">
        <v>9000000</v>
      </c>
      <c r="L38" t="s">
        <v>18</v>
      </c>
    </row>
    <row r="39" spans="1:12" x14ac:dyDescent="0.3">
      <c r="A39" t="s">
        <v>76</v>
      </c>
      <c r="B39" s="1">
        <v>45409</v>
      </c>
      <c r="C39" t="s">
        <v>13</v>
      </c>
      <c r="D39" t="s">
        <v>14</v>
      </c>
      <c r="E39" t="s">
        <v>15</v>
      </c>
      <c r="F39" t="s">
        <v>25</v>
      </c>
      <c r="G39">
        <v>2850000</v>
      </c>
      <c r="H39">
        <v>2850000</v>
      </c>
      <c r="I39" t="s">
        <v>20</v>
      </c>
      <c r="J39" s="1">
        <v>45895</v>
      </c>
      <c r="K39">
        <v>8500000</v>
      </c>
      <c r="L39" t="s">
        <v>52</v>
      </c>
    </row>
    <row r="40" spans="1:12" x14ac:dyDescent="0.3">
      <c r="A40" t="s">
        <v>77</v>
      </c>
      <c r="B40" s="1">
        <v>45518</v>
      </c>
      <c r="C40" t="s">
        <v>13</v>
      </c>
      <c r="D40" t="s">
        <v>23</v>
      </c>
      <c r="E40" t="s">
        <v>24</v>
      </c>
      <c r="F40" t="s">
        <v>16</v>
      </c>
      <c r="G40">
        <v>4550000</v>
      </c>
      <c r="H40">
        <v>4550000</v>
      </c>
      <c r="I40" t="s">
        <v>20</v>
      </c>
      <c r="J40" s="1">
        <v>46222</v>
      </c>
      <c r="K40">
        <v>8500000</v>
      </c>
      <c r="L40" t="s">
        <v>38</v>
      </c>
    </row>
    <row r="41" spans="1:12" x14ac:dyDescent="0.3">
      <c r="A41" t="s">
        <v>78</v>
      </c>
      <c r="B41" s="1">
        <v>45356</v>
      </c>
      <c r="C41" t="s">
        <v>28</v>
      </c>
      <c r="D41" t="s">
        <v>14</v>
      </c>
      <c r="E41" t="s">
        <v>15</v>
      </c>
      <c r="F41" t="s">
        <v>33</v>
      </c>
      <c r="G41">
        <v>7400000</v>
      </c>
      <c r="H41">
        <v>7400000</v>
      </c>
      <c r="I41" t="s">
        <v>20</v>
      </c>
      <c r="J41" s="1">
        <v>45872</v>
      </c>
      <c r="K41">
        <v>7000000</v>
      </c>
      <c r="L41" t="s">
        <v>52</v>
      </c>
    </row>
    <row r="42" spans="1:12" x14ac:dyDescent="0.3">
      <c r="A42" t="s">
        <v>79</v>
      </c>
      <c r="B42" s="1">
        <v>45509</v>
      </c>
      <c r="C42" t="s">
        <v>31</v>
      </c>
      <c r="D42" t="s">
        <v>23</v>
      </c>
      <c r="E42" t="s">
        <v>24</v>
      </c>
      <c r="F42" t="s">
        <v>25</v>
      </c>
      <c r="G42">
        <v>3100000</v>
      </c>
      <c r="H42">
        <v>3100000</v>
      </c>
      <c r="I42" t="s">
        <v>20</v>
      </c>
      <c r="J42" s="1">
        <v>45813</v>
      </c>
      <c r="K42">
        <v>7500000</v>
      </c>
    </row>
    <row r="43" spans="1:12" x14ac:dyDescent="0.3">
      <c r="A43" t="s">
        <v>80</v>
      </c>
      <c r="B43" s="1">
        <v>45331</v>
      </c>
      <c r="C43" t="s">
        <v>22</v>
      </c>
      <c r="D43" t="s">
        <v>23</v>
      </c>
      <c r="E43" t="s">
        <v>24</v>
      </c>
      <c r="F43" t="s">
        <v>16</v>
      </c>
      <c r="G43">
        <v>5200000</v>
      </c>
      <c r="H43">
        <v>2000000</v>
      </c>
      <c r="I43" t="s">
        <v>26</v>
      </c>
      <c r="J43" s="1">
        <v>45553</v>
      </c>
      <c r="K43">
        <v>8000000</v>
      </c>
    </row>
    <row r="44" spans="1:12" x14ac:dyDescent="0.3">
      <c r="A44" t="s">
        <v>81</v>
      </c>
      <c r="B44" s="1">
        <v>45404</v>
      </c>
      <c r="C44" t="s">
        <v>31</v>
      </c>
      <c r="D44" t="s">
        <v>14</v>
      </c>
      <c r="E44" t="s">
        <v>15</v>
      </c>
      <c r="F44" t="s">
        <v>51</v>
      </c>
      <c r="G44">
        <v>9900000</v>
      </c>
      <c r="H44">
        <v>9900000</v>
      </c>
      <c r="I44" t="s">
        <v>20</v>
      </c>
      <c r="J44" s="1">
        <v>45740</v>
      </c>
      <c r="K44">
        <v>7500000</v>
      </c>
      <c r="L44" t="s">
        <v>52</v>
      </c>
    </row>
    <row r="45" spans="1:12" x14ac:dyDescent="0.3">
      <c r="A45" t="s">
        <v>82</v>
      </c>
      <c r="B45" s="1">
        <v>45317</v>
      </c>
      <c r="C45" t="s">
        <v>28</v>
      </c>
      <c r="D45" t="s">
        <v>14</v>
      </c>
      <c r="E45" t="s">
        <v>15</v>
      </c>
      <c r="F45" t="s">
        <v>25</v>
      </c>
      <c r="G45">
        <v>3050000</v>
      </c>
      <c r="H45">
        <v>3050000</v>
      </c>
      <c r="I45" t="s">
        <v>20</v>
      </c>
      <c r="J45" s="1">
        <v>45687</v>
      </c>
      <c r="K45">
        <v>7000000</v>
      </c>
      <c r="L45" t="s">
        <v>38</v>
      </c>
    </row>
    <row r="46" spans="1:12" x14ac:dyDescent="0.3">
      <c r="A46" t="s">
        <v>83</v>
      </c>
      <c r="B46" s="1">
        <v>45557</v>
      </c>
      <c r="C46" t="s">
        <v>13</v>
      </c>
      <c r="D46" t="s">
        <v>14</v>
      </c>
      <c r="E46" t="s">
        <v>15</v>
      </c>
      <c r="F46" t="s">
        <v>33</v>
      </c>
      <c r="G46">
        <v>8350000</v>
      </c>
      <c r="H46">
        <v>0</v>
      </c>
      <c r="I46" t="s">
        <v>17</v>
      </c>
      <c r="J46" s="1">
        <v>46240</v>
      </c>
      <c r="K46">
        <v>8500000</v>
      </c>
      <c r="L46" t="s">
        <v>38</v>
      </c>
    </row>
    <row r="47" spans="1:12" x14ac:dyDescent="0.3">
      <c r="A47" t="s">
        <v>84</v>
      </c>
      <c r="B47" s="1">
        <v>45460</v>
      </c>
      <c r="C47" t="s">
        <v>35</v>
      </c>
      <c r="D47" t="s">
        <v>23</v>
      </c>
      <c r="E47" t="s">
        <v>24</v>
      </c>
      <c r="F47" t="s">
        <v>16</v>
      </c>
      <c r="G47">
        <v>5350000</v>
      </c>
      <c r="H47">
        <v>1200000</v>
      </c>
      <c r="I47" t="s">
        <v>26</v>
      </c>
      <c r="J47" s="1">
        <v>46189</v>
      </c>
      <c r="K47">
        <v>9000000</v>
      </c>
      <c r="L47" t="s">
        <v>40</v>
      </c>
    </row>
    <row r="48" spans="1:12" x14ac:dyDescent="0.3">
      <c r="A48" t="s">
        <v>85</v>
      </c>
      <c r="B48" s="1">
        <v>45437</v>
      </c>
      <c r="C48" t="s">
        <v>22</v>
      </c>
      <c r="D48" t="s">
        <v>23</v>
      </c>
      <c r="E48" t="s">
        <v>24</v>
      </c>
      <c r="F48" t="s">
        <v>16</v>
      </c>
      <c r="G48">
        <v>5900000</v>
      </c>
      <c r="H48">
        <v>850000</v>
      </c>
      <c r="I48" t="s">
        <v>26</v>
      </c>
      <c r="J48" s="1">
        <v>46064</v>
      </c>
      <c r="K48">
        <v>8000000</v>
      </c>
      <c r="L48" t="s">
        <v>38</v>
      </c>
    </row>
    <row r="49" spans="1:12" x14ac:dyDescent="0.3">
      <c r="A49" t="s">
        <v>86</v>
      </c>
      <c r="B49" s="1">
        <v>45524</v>
      </c>
      <c r="C49" t="s">
        <v>35</v>
      </c>
      <c r="D49" t="s">
        <v>23</v>
      </c>
      <c r="E49" t="s">
        <v>24</v>
      </c>
      <c r="F49" t="s">
        <v>16</v>
      </c>
      <c r="G49">
        <v>5400000</v>
      </c>
      <c r="H49">
        <v>5400000</v>
      </c>
      <c r="I49" t="s">
        <v>20</v>
      </c>
      <c r="J49" s="1">
        <v>46422</v>
      </c>
      <c r="K49">
        <v>9000000</v>
      </c>
      <c r="L49" t="s">
        <v>38</v>
      </c>
    </row>
    <row r="50" spans="1:12" x14ac:dyDescent="0.3">
      <c r="A50" t="s">
        <v>87</v>
      </c>
      <c r="B50" s="1">
        <v>45652</v>
      </c>
      <c r="C50" t="s">
        <v>35</v>
      </c>
      <c r="D50" t="s">
        <v>44</v>
      </c>
      <c r="E50" t="s">
        <v>45</v>
      </c>
      <c r="F50" t="s">
        <v>16</v>
      </c>
      <c r="G50">
        <v>4750000</v>
      </c>
      <c r="H50">
        <v>800000</v>
      </c>
      <c r="I50" t="s">
        <v>26</v>
      </c>
      <c r="J50" s="1">
        <v>45968</v>
      </c>
      <c r="K50">
        <v>9000000</v>
      </c>
    </row>
    <row r="51" spans="1:12" x14ac:dyDescent="0.3">
      <c r="A51" t="s">
        <v>88</v>
      </c>
      <c r="B51" s="1">
        <v>45443</v>
      </c>
      <c r="C51" t="s">
        <v>22</v>
      </c>
      <c r="D51" t="s">
        <v>14</v>
      </c>
      <c r="E51" t="s">
        <v>15</v>
      </c>
      <c r="F51" t="s">
        <v>16</v>
      </c>
      <c r="G51">
        <v>4800000</v>
      </c>
      <c r="H51">
        <v>4800000</v>
      </c>
      <c r="J51" s="1">
        <v>45869</v>
      </c>
      <c r="K51">
        <v>8000000</v>
      </c>
    </row>
    <row r="52" spans="1:12" x14ac:dyDescent="0.3">
      <c r="A52" t="s">
        <v>89</v>
      </c>
      <c r="B52" s="1">
        <v>45593</v>
      </c>
      <c r="C52" t="s">
        <v>28</v>
      </c>
      <c r="D52" t="s">
        <v>14</v>
      </c>
      <c r="E52" t="s">
        <v>15</v>
      </c>
      <c r="F52" t="s">
        <v>51</v>
      </c>
      <c r="G52">
        <v>11150000</v>
      </c>
      <c r="H52">
        <v>11150000</v>
      </c>
      <c r="I52" t="s">
        <v>20</v>
      </c>
      <c r="J52" s="1">
        <v>46005</v>
      </c>
      <c r="K52">
        <v>7000000</v>
      </c>
      <c r="L52" t="s">
        <v>40</v>
      </c>
    </row>
    <row r="53" spans="1:12" x14ac:dyDescent="0.3">
      <c r="A53" t="s">
        <v>90</v>
      </c>
      <c r="B53" s="1">
        <v>45417</v>
      </c>
      <c r="C53" t="s">
        <v>22</v>
      </c>
      <c r="D53" t="s">
        <v>14</v>
      </c>
      <c r="E53" t="s">
        <v>15</v>
      </c>
      <c r="F53" t="s">
        <v>33</v>
      </c>
      <c r="G53">
        <v>7400000</v>
      </c>
      <c r="H53">
        <v>7400000</v>
      </c>
      <c r="I53" t="s">
        <v>20</v>
      </c>
      <c r="J53" s="1">
        <v>45740</v>
      </c>
      <c r="K53">
        <v>8000000</v>
      </c>
    </row>
    <row r="54" spans="1:12" x14ac:dyDescent="0.3">
      <c r="A54" t="s">
        <v>91</v>
      </c>
      <c r="B54" s="1">
        <v>45483</v>
      </c>
      <c r="C54" t="s">
        <v>13</v>
      </c>
      <c r="D54" t="s">
        <v>23</v>
      </c>
      <c r="E54" t="s">
        <v>24</v>
      </c>
      <c r="F54" t="s">
        <v>33</v>
      </c>
      <c r="G54">
        <v>7250000</v>
      </c>
      <c r="H54">
        <v>7250000</v>
      </c>
      <c r="I54" t="s">
        <v>20</v>
      </c>
      <c r="J54" s="1">
        <v>45842</v>
      </c>
      <c r="K54">
        <v>8500000</v>
      </c>
      <c r="L54" t="s">
        <v>38</v>
      </c>
    </row>
    <row r="55" spans="1:12" x14ac:dyDescent="0.3">
      <c r="A55" t="s">
        <v>92</v>
      </c>
      <c r="B55" s="1">
        <v>45428</v>
      </c>
      <c r="C55" t="s">
        <v>22</v>
      </c>
      <c r="D55" t="s">
        <v>14</v>
      </c>
      <c r="E55" t="s">
        <v>15</v>
      </c>
      <c r="F55" t="s">
        <v>16</v>
      </c>
      <c r="G55">
        <v>5250000</v>
      </c>
      <c r="H55">
        <v>5250000</v>
      </c>
      <c r="I55" t="s">
        <v>20</v>
      </c>
      <c r="J55" s="1">
        <v>46166</v>
      </c>
      <c r="K55">
        <v>8000000</v>
      </c>
      <c r="L55" t="s">
        <v>18</v>
      </c>
    </row>
    <row r="56" spans="1:12" x14ac:dyDescent="0.3">
      <c r="A56" t="s">
        <v>93</v>
      </c>
      <c r="B56" s="1">
        <v>45382</v>
      </c>
      <c r="C56" t="s">
        <v>13</v>
      </c>
      <c r="D56" t="s">
        <v>56</v>
      </c>
      <c r="E56" t="s">
        <v>24</v>
      </c>
      <c r="F56" t="s">
        <v>51</v>
      </c>
      <c r="G56">
        <v>12950000</v>
      </c>
      <c r="H56">
        <v>0</v>
      </c>
      <c r="I56" t="s">
        <v>17</v>
      </c>
      <c r="J56" s="1">
        <v>45816</v>
      </c>
      <c r="K56">
        <v>8500000</v>
      </c>
      <c r="L56" t="s">
        <v>18</v>
      </c>
    </row>
    <row r="57" spans="1:12" x14ac:dyDescent="0.3">
      <c r="A57" t="s">
        <v>94</v>
      </c>
      <c r="B57" s="1">
        <v>45637</v>
      </c>
      <c r="C57" t="s">
        <v>31</v>
      </c>
      <c r="D57" t="s">
        <v>23</v>
      </c>
      <c r="E57" t="s">
        <v>24</v>
      </c>
      <c r="F57" t="s">
        <v>33</v>
      </c>
      <c r="G57">
        <v>7450000</v>
      </c>
      <c r="H57">
        <v>0</v>
      </c>
      <c r="I57" t="s">
        <v>17</v>
      </c>
      <c r="J57" s="1">
        <v>45881</v>
      </c>
      <c r="K57">
        <v>7500000</v>
      </c>
    </row>
    <row r="58" spans="1:12" x14ac:dyDescent="0.3">
      <c r="A58" t="s">
        <v>95</v>
      </c>
      <c r="B58" s="1">
        <v>45594</v>
      </c>
      <c r="C58" t="s">
        <v>31</v>
      </c>
      <c r="D58" t="s">
        <v>23</v>
      </c>
      <c r="E58" t="s">
        <v>24</v>
      </c>
      <c r="F58" t="s">
        <v>33</v>
      </c>
      <c r="G58">
        <v>8600000</v>
      </c>
      <c r="H58">
        <v>8600000</v>
      </c>
      <c r="I58" t="s">
        <v>20</v>
      </c>
      <c r="J58" s="1">
        <v>46126</v>
      </c>
      <c r="K58">
        <v>7500000</v>
      </c>
    </row>
    <row r="59" spans="1:12" x14ac:dyDescent="0.3">
      <c r="A59" t="s">
        <v>96</v>
      </c>
      <c r="B59" s="1">
        <v>45516</v>
      </c>
      <c r="C59" t="s">
        <v>13</v>
      </c>
      <c r="D59" t="s">
        <v>23</v>
      </c>
      <c r="E59" t="s">
        <v>24</v>
      </c>
      <c r="F59" t="s">
        <v>25</v>
      </c>
      <c r="G59">
        <v>3350000</v>
      </c>
      <c r="H59">
        <v>0</v>
      </c>
      <c r="I59" t="s">
        <v>17</v>
      </c>
      <c r="J59" s="1">
        <v>45813</v>
      </c>
      <c r="K59">
        <v>8500000</v>
      </c>
      <c r="L59" t="s">
        <v>42</v>
      </c>
    </row>
    <row r="60" spans="1:12" x14ac:dyDescent="0.3">
      <c r="A60" t="s">
        <v>97</v>
      </c>
      <c r="B60" s="1">
        <v>45555</v>
      </c>
      <c r="C60" t="s">
        <v>35</v>
      </c>
      <c r="D60" t="s">
        <v>14</v>
      </c>
      <c r="E60" t="s">
        <v>15</v>
      </c>
      <c r="F60" t="s">
        <v>16</v>
      </c>
      <c r="G60">
        <v>4300000</v>
      </c>
      <c r="H60">
        <v>850000</v>
      </c>
      <c r="I60" t="s">
        <v>26</v>
      </c>
      <c r="J60" s="1">
        <v>45989</v>
      </c>
      <c r="K60">
        <v>9000000</v>
      </c>
      <c r="L60" t="s">
        <v>42</v>
      </c>
    </row>
    <row r="61" spans="1:12" x14ac:dyDescent="0.3">
      <c r="A61" t="s">
        <v>98</v>
      </c>
      <c r="B61" s="1">
        <v>45572</v>
      </c>
      <c r="C61" t="s">
        <v>99</v>
      </c>
      <c r="D61" t="s">
        <v>44</v>
      </c>
      <c r="E61" t="s">
        <v>45</v>
      </c>
      <c r="F61" t="s">
        <v>51</v>
      </c>
      <c r="G61">
        <v>13500000</v>
      </c>
      <c r="H61">
        <v>2400000</v>
      </c>
      <c r="I61" t="s">
        <v>26</v>
      </c>
      <c r="J61" s="1">
        <v>46005</v>
      </c>
      <c r="K61">
        <v>8500000</v>
      </c>
      <c r="L61" t="s">
        <v>18</v>
      </c>
    </row>
    <row r="62" spans="1:12" x14ac:dyDescent="0.3">
      <c r="A62" t="s">
        <v>100</v>
      </c>
      <c r="B62" s="1">
        <v>45588</v>
      </c>
      <c r="C62" t="s">
        <v>22</v>
      </c>
      <c r="D62" t="s">
        <v>44</v>
      </c>
      <c r="E62" t="s">
        <v>45</v>
      </c>
      <c r="F62" t="s">
        <v>33</v>
      </c>
      <c r="G62">
        <v>8050000</v>
      </c>
      <c r="H62">
        <v>3100000</v>
      </c>
      <c r="I62" t="s">
        <v>26</v>
      </c>
      <c r="J62" s="1">
        <v>45971</v>
      </c>
      <c r="K62">
        <v>8000000</v>
      </c>
      <c r="L62" t="s">
        <v>38</v>
      </c>
    </row>
    <row r="63" spans="1:12" x14ac:dyDescent="0.3">
      <c r="A63" t="s">
        <v>101</v>
      </c>
      <c r="B63" s="1">
        <v>45367</v>
      </c>
      <c r="C63" t="s">
        <v>13</v>
      </c>
      <c r="D63" t="s">
        <v>23</v>
      </c>
      <c r="E63" t="s">
        <v>24</v>
      </c>
      <c r="F63" t="s">
        <v>16</v>
      </c>
      <c r="G63">
        <v>5900000</v>
      </c>
      <c r="H63">
        <v>5900000</v>
      </c>
      <c r="I63" t="s">
        <v>20</v>
      </c>
      <c r="J63" s="1">
        <v>45913</v>
      </c>
      <c r="K63">
        <v>8500000</v>
      </c>
      <c r="L63" t="s">
        <v>29</v>
      </c>
    </row>
    <row r="64" spans="1:12" x14ac:dyDescent="0.3">
      <c r="A64" t="s">
        <v>102</v>
      </c>
      <c r="B64" s="1">
        <v>45491</v>
      </c>
      <c r="C64" t="s">
        <v>28</v>
      </c>
      <c r="D64" t="s">
        <v>14</v>
      </c>
      <c r="E64" t="s">
        <v>15</v>
      </c>
      <c r="F64" t="s">
        <v>51</v>
      </c>
      <c r="G64">
        <v>12700000</v>
      </c>
      <c r="H64">
        <v>1300000</v>
      </c>
      <c r="I64" t="s">
        <v>26</v>
      </c>
      <c r="J64" s="1">
        <v>46031</v>
      </c>
      <c r="K64">
        <v>7000000</v>
      </c>
      <c r="L64" t="s">
        <v>18</v>
      </c>
    </row>
    <row r="65" spans="1:12" x14ac:dyDescent="0.3">
      <c r="A65" t="s">
        <v>103</v>
      </c>
      <c r="B65" s="1">
        <v>45622</v>
      </c>
      <c r="C65" t="s">
        <v>99</v>
      </c>
      <c r="D65" t="s">
        <v>14</v>
      </c>
      <c r="E65" t="s">
        <v>15</v>
      </c>
      <c r="F65" t="s">
        <v>51</v>
      </c>
      <c r="G65">
        <v>12300000</v>
      </c>
      <c r="H65">
        <v>12300000</v>
      </c>
      <c r="I65" t="s">
        <v>20</v>
      </c>
      <c r="J65" s="1">
        <v>45845</v>
      </c>
      <c r="K65">
        <v>8500000</v>
      </c>
    </row>
    <row r="66" spans="1:12" x14ac:dyDescent="0.3">
      <c r="A66" t="s">
        <v>104</v>
      </c>
      <c r="B66" s="1">
        <v>45586</v>
      </c>
      <c r="C66" t="s">
        <v>31</v>
      </c>
      <c r="D66" t="s">
        <v>23</v>
      </c>
      <c r="E66" t="s">
        <v>24</v>
      </c>
      <c r="F66" t="s">
        <v>51</v>
      </c>
      <c r="G66">
        <v>12800000</v>
      </c>
      <c r="H66">
        <v>12800000</v>
      </c>
      <c r="I66" t="s">
        <v>20</v>
      </c>
      <c r="J66" s="1">
        <v>45882</v>
      </c>
      <c r="K66">
        <v>7500000</v>
      </c>
      <c r="L66" t="s">
        <v>29</v>
      </c>
    </row>
    <row r="67" spans="1:12" x14ac:dyDescent="0.3">
      <c r="A67" t="s">
        <v>105</v>
      </c>
      <c r="B67" s="1">
        <v>45347</v>
      </c>
      <c r="C67" t="s">
        <v>31</v>
      </c>
      <c r="D67" t="s">
        <v>23</v>
      </c>
      <c r="E67" t="s">
        <v>24</v>
      </c>
      <c r="F67" t="s">
        <v>16</v>
      </c>
      <c r="G67">
        <v>4900000</v>
      </c>
      <c r="H67">
        <v>4900000</v>
      </c>
      <c r="I67" t="s">
        <v>20</v>
      </c>
      <c r="J67" s="1">
        <v>45812</v>
      </c>
      <c r="K67">
        <v>7500000</v>
      </c>
    </row>
    <row r="68" spans="1:12" x14ac:dyDescent="0.3">
      <c r="A68" t="s">
        <v>106</v>
      </c>
      <c r="B68" s="1">
        <v>45380</v>
      </c>
      <c r="C68" t="s">
        <v>35</v>
      </c>
      <c r="D68" t="s">
        <v>14</v>
      </c>
      <c r="E68" t="s">
        <v>15</v>
      </c>
      <c r="F68" t="s">
        <v>16</v>
      </c>
      <c r="G68">
        <v>4600000</v>
      </c>
      <c r="H68">
        <v>1700000</v>
      </c>
      <c r="I68" t="s">
        <v>26</v>
      </c>
      <c r="J68" s="1">
        <v>45595</v>
      </c>
      <c r="K68">
        <v>9000000</v>
      </c>
      <c r="L68" t="s">
        <v>29</v>
      </c>
    </row>
    <row r="69" spans="1:12" x14ac:dyDescent="0.3">
      <c r="A69" t="s">
        <v>107</v>
      </c>
      <c r="B69" s="1">
        <v>45360</v>
      </c>
      <c r="C69" t="s">
        <v>13</v>
      </c>
      <c r="D69" t="s">
        <v>44</v>
      </c>
      <c r="E69" t="s">
        <v>45</v>
      </c>
      <c r="F69" t="s">
        <v>33</v>
      </c>
      <c r="G69">
        <v>7850000</v>
      </c>
      <c r="H69">
        <v>2250000</v>
      </c>
      <c r="I69" t="s">
        <v>26</v>
      </c>
      <c r="J69" s="1">
        <v>46056</v>
      </c>
      <c r="K69">
        <v>8500000</v>
      </c>
    </row>
    <row r="70" spans="1:12" x14ac:dyDescent="0.3">
      <c r="A70" t="s">
        <v>108</v>
      </c>
      <c r="B70" s="1">
        <v>45319</v>
      </c>
      <c r="C70" t="s">
        <v>35</v>
      </c>
      <c r="D70" t="s">
        <v>14</v>
      </c>
      <c r="E70" t="s">
        <v>15</v>
      </c>
      <c r="F70" t="s">
        <v>16</v>
      </c>
      <c r="G70">
        <v>5750000</v>
      </c>
      <c r="H70">
        <v>0</v>
      </c>
      <c r="I70" t="s">
        <v>17</v>
      </c>
      <c r="J70" s="1">
        <v>46139</v>
      </c>
      <c r="K70">
        <v>9000000</v>
      </c>
    </row>
    <row r="71" spans="1:12" x14ac:dyDescent="0.3">
      <c r="A71" t="s">
        <v>109</v>
      </c>
      <c r="B71" s="1">
        <v>45369</v>
      </c>
      <c r="C71" t="s">
        <v>35</v>
      </c>
      <c r="D71" t="s">
        <v>23</v>
      </c>
      <c r="E71" t="s">
        <v>24</v>
      </c>
      <c r="F71" t="s">
        <v>25</v>
      </c>
      <c r="G71">
        <v>2800000</v>
      </c>
      <c r="H71">
        <v>1050000</v>
      </c>
      <c r="I71" t="s">
        <v>26</v>
      </c>
      <c r="J71" s="1">
        <v>45636</v>
      </c>
      <c r="K71">
        <v>9000000</v>
      </c>
      <c r="L71" t="s">
        <v>38</v>
      </c>
    </row>
    <row r="72" spans="1:12" x14ac:dyDescent="0.3">
      <c r="A72" t="s">
        <v>110</v>
      </c>
      <c r="B72" s="1">
        <v>45313</v>
      </c>
      <c r="C72" t="s">
        <v>35</v>
      </c>
      <c r="D72" t="s">
        <v>44</v>
      </c>
      <c r="E72" t="s">
        <v>45</v>
      </c>
      <c r="F72" t="s">
        <v>16</v>
      </c>
      <c r="G72">
        <v>5700000</v>
      </c>
      <c r="H72">
        <v>1400000</v>
      </c>
      <c r="I72" t="s">
        <v>26</v>
      </c>
      <c r="J72" s="1">
        <v>45530</v>
      </c>
      <c r="K72">
        <v>9000000</v>
      </c>
      <c r="L72" t="s">
        <v>29</v>
      </c>
    </row>
    <row r="73" spans="1:12" x14ac:dyDescent="0.3">
      <c r="A73" t="s">
        <v>111</v>
      </c>
      <c r="B73" s="1">
        <v>45623</v>
      </c>
      <c r="C73" t="s">
        <v>35</v>
      </c>
      <c r="D73" t="s">
        <v>23</v>
      </c>
      <c r="E73" t="s">
        <v>24</v>
      </c>
      <c r="F73" t="s">
        <v>25</v>
      </c>
      <c r="G73">
        <v>2600000</v>
      </c>
      <c r="H73">
        <v>2600000</v>
      </c>
      <c r="I73" t="s">
        <v>20</v>
      </c>
      <c r="J73" s="1">
        <v>46195</v>
      </c>
      <c r="K73">
        <v>9000000</v>
      </c>
      <c r="L73" t="s">
        <v>52</v>
      </c>
    </row>
    <row r="74" spans="1:12" x14ac:dyDescent="0.3">
      <c r="A74" t="s">
        <v>112</v>
      </c>
      <c r="B74" s="1">
        <v>45410</v>
      </c>
      <c r="C74" t="s">
        <v>28</v>
      </c>
      <c r="D74" t="s">
        <v>23</v>
      </c>
      <c r="E74" t="s">
        <v>24</v>
      </c>
      <c r="F74" t="s">
        <v>16</v>
      </c>
      <c r="G74">
        <v>5550000</v>
      </c>
      <c r="H74">
        <v>5550000</v>
      </c>
      <c r="I74" t="s">
        <v>20</v>
      </c>
      <c r="J74" s="1">
        <v>46184</v>
      </c>
      <c r="K74">
        <v>7000000</v>
      </c>
      <c r="L74" t="s">
        <v>38</v>
      </c>
    </row>
    <row r="75" spans="1:12" x14ac:dyDescent="0.3">
      <c r="A75" t="s">
        <v>113</v>
      </c>
      <c r="B75" s="1">
        <v>45420</v>
      </c>
      <c r="C75" t="s">
        <v>22</v>
      </c>
      <c r="D75" t="s">
        <v>14</v>
      </c>
      <c r="E75" t="s">
        <v>114</v>
      </c>
      <c r="F75" t="s">
        <v>25</v>
      </c>
      <c r="G75">
        <v>2900000</v>
      </c>
      <c r="H75">
        <v>0</v>
      </c>
      <c r="I75" t="s">
        <v>17</v>
      </c>
      <c r="J75" s="1">
        <v>45912</v>
      </c>
      <c r="K75">
        <v>8000000</v>
      </c>
      <c r="L75" t="s">
        <v>29</v>
      </c>
    </row>
    <row r="76" spans="1:12" x14ac:dyDescent="0.3">
      <c r="A76" t="s">
        <v>115</v>
      </c>
      <c r="B76" s="1">
        <v>45477</v>
      </c>
      <c r="C76" t="s">
        <v>13</v>
      </c>
      <c r="D76" t="s">
        <v>23</v>
      </c>
      <c r="E76" t="s">
        <v>24</v>
      </c>
      <c r="F76" t="s">
        <v>16</v>
      </c>
      <c r="G76">
        <v>5550000</v>
      </c>
      <c r="H76">
        <v>2150000</v>
      </c>
      <c r="I76" t="s">
        <v>26</v>
      </c>
      <c r="J76" s="1">
        <v>45933</v>
      </c>
      <c r="K76">
        <v>8500000</v>
      </c>
    </row>
    <row r="77" spans="1:12" x14ac:dyDescent="0.3">
      <c r="A77" t="s">
        <v>116</v>
      </c>
      <c r="B77" s="1">
        <v>45593</v>
      </c>
      <c r="C77" t="s">
        <v>13</v>
      </c>
      <c r="D77" t="s">
        <v>14</v>
      </c>
      <c r="E77" t="s">
        <v>15</v>
      </c>
      <c r="F77" t="s">
        <v>33</v>
      </c>
      <c r="G77">
        <v>6900000</v>
      </c>
      <c r="H77">
        <v>6900000</v>
      </c>
      <c r="I77" t="s">
        <v>20</v>
      </c>
      <c r="J77" s="1">
        <v>46413</v>
      </c>
      <c r="K77">
        <v>8500000</v>
      </c>
      <c r="L77" t="s">
        <v>29</v>
      </c>
    </row>
    <row r="78" spans="1:12" x14ac:dyDescent="0.3">
      <c r="A78" t="s">
        <v>117</v>
      </c>
      <c r="B78" s="1">
        <v>45450</v>
      </c>
      <c r="C78" t="s">
        <v>13</v>
      </c>
      <c r="D78" t="s">
        <v>23</v>
      </c>
      <c r="E78" t="s">
        <v>24</v>
      </c>
      <c r="F78" t="s">
        <v>33</v>
      </c>
      <c r="G78">
        <v>7050000</v>
      </c>
      <c r="H78">
        <v>7050000</v>
      </c>
      <c r="I78" t="s">
        <v>20</v>
      </c>
      <c r="J78" s="1">
        <v>45932</v>
      </c>
      <c r="K78">
        <v>8500000</v>
      </c>
      <c r="L78" t="s">
        <v>40</v>
      </c>
    </row>
    <row r="79" spans="1:12" x14ac:dyDescent="0.3">
      <c r="A79" t="s">
        <v>118</v>
      </c>
      <c r="B79" s="1">
        <v>45459</v>
      </c>
      <c r="C79" t="s">
        <v>22</v>
      </c>
      <c r="D79" t="s">
        <v>23</v>
      </c>
      <c r="E79" t="s">
        <v>24</v>
      </c>
      <c r="F79" t="s">
        <v>16</v>
      </c>
      <c r="G79">
        <v>4250000</v>
      </c>
      <c r="H79">
        <v>1100000</v>
      </c>
      <c r="I79" t="s">
        <v>26</v>
      </c>
      <c r="J79" s="1">
        <v>45874</v>
      </c>
      <c r="K79">
        <v>8000000</v>
      </c>
    </row>
    <row r="80" spans="1:12" x14ac:dyDescent="0.3">
      <c r="A80" t="s">
        <v>119</v>
      </c>
      <c r="B80" s="1">
        <v>45649</v>
      </c>
      <c r="C80" t="s">
        <v>31</v>
      </c>
      <c r="D80" t="s">
        <v>14</v>
      </c>
      <c r="E80" t="s">
        <v>15</v>
      </c>
      <c r="F80" t="s">
        <v>51</v>
      </c>
      <c r="G80">
        <v>12950000</v>
      </c>
      <c r="H80">
        <v>12950000</v>
      </c>
      <c r="I80" t="s">
        <v>20</v>
      </c>
      <c r="J80" s="1">
        <v>46154</v>
      </c>
      <c r="K80">
        <v>7500000</v>
      </c>
    </row>
    <row r="81" spans="1:12" x14ac:dyDescent="0.3">
      <c r="A81" t="s">
        <v>120</v>
      </c>
      <c r="B81" s="1">
        <v>45630</v>
      </c>
      <c r="C81" t="s">
        <v>31</v>
      </c>
      <c r="D81" t="s">
        <v>14</v>
      </c>
      <c r="E81" t="s">
        <v>15</v>
      </c>
      <c r="F81" t="s">
        <v>51</v>
      </c>
      <c r="G81">
        <v>11450000</v>
      </c>
      <c r="H81">
        <v>11450000</v>
      </c>
      <c r="J81" s="1">
        <v>46199</v>
      </c>
      <c r="K81">
        <v>7500000</v>
      </c>
      <c r="L81" t="s">
        <v>18</v>
      </c>
    </row>
    <row r="82" spans="1:12" x14ac:dyDescent="0.3">
      <c r="A82" t="s">
        <v>121</v>
      </c>
      <c r="B82" s="1">
        <v>45565</v>
      </c>
      <c r="C82" t="s">
        <v>31</v>
      </c>
      <c r="D82" t="s">
        <v>23</v>
      </c>
      <c r="E82" t="s">
        <v>24</v>
      </c>
      <c r="F82" t="s">
        <v>51</v>
      </c>
      <c r="G82">
        <v>11150000</v>
      </c>
      <c r="H82">
        <v>11150000</v>
      </c>
      <c r="I82" t="s">
        <v>20</v>
      </c>
      <c r="J82" s="1">
        <v>46439</v>
      </c>
      <c r="K82">
        <v>7500000</v>
      </c>
    </row>
    <row r="83" spans="1:12" x14ac:dyDescent="0.3">
      <c r="A83" t="s">
        <v>122</v>
      </c>
      <c r="B83" s="1">
        <v>45314</v>
      </c>
      <c r="C83" t="s">
        <v>22</v>
      </c>
      <c r="D83" t="s">
        <v>23</v>
      </c>
      <c r="E83" t="s">
        <v>24</v>
      </c>
      <c r="F83" t="s">
        <v>16</v>
      </c>
      <c r="G83">
        <v>4800000</v>
      </c>
      <c r="H83">
        <v>4800000</v>
      </c>
      <c r="I83" t="s">
        <v>20</v>
      </c>
      <c r="J83" s="1">
        <v>45677</v>
      </c>
      <c r="K83">
        <v>8000000</v>
      </c>
      <c r="L83" t="s">
        <v>42</v>
      </c>
    </row>
    <row r="84" spans="1:12" x14ac:dyDescent="0.3">
      <c r="A84" t="s">
        <v>123</v>
      </c>
      <c r="B84" s="1">
        <v>45457</v>
      </c>
      <c r="C84" t="s">
        <v>31</v>
      </c>
      <c r="D84" t="s">
        <v>23</v>
      </c>
      <c r="E84" t="s">
        <v>24</v>
      </c>
      <c r="F84" t="s">
        <v>51</v>
      </c>
      <c r="G84">
        <v>10150000</v>
      </c>
      <c r="H84">
        <v>10150000</v>
      </c>
      <c r="I84" t="s">
        <v>20</v>
      </c>
      <c r="J84" s="1">
        <v>45838</v>
      </c>
      <c r="K84">
        <v>7500000</v>
      </c>
    </row>
    <row r="85" spans="1:12" x14ac:dyDescent="0.3">
      <c r="A85" t="s">
        <v>124</v>
      </c>
      <c r="B85" s="1">
        <v>45557</v>
      </c>
      <c r="C85" t="s">
        <v>13</v>
      </c>
      <c r="D85" t="s">
        <v>23</v>
      </c>
      <c r="E85" t="s">
        <v>24</v>
      </c>
      <c r="F85" t="s">
        <v>51</v>
      </c>
      <c r="G85">
        <v>10500000</v>
      </c>
      <c r="H85">
        <v>3250000</v>
      </c>
      <c r="I85" t="s">
        <v>26</v>
      </c>
      <c r="J85" s="1">
        <v>46226</v>
      </c>
      <c r="K85">
        <v>8500000</v>
      </c>
      <c r="L85" t="s">
        <v>38</v>
      </c>
    </row>
    <row r="86" spans="1:12" x14ac:dyDescent="0.3">
      <c r="A86" t="s">
        <v>125</v>
      </c>
      <c r="B86" s="1">
        <v>45506</v>
      </c>
      <c r="C86" t="s">
        <v>28</v>
      </c>
      <c r="D86" t="s">
        <v>14</v>
      </c>
      <c r="E86" t="s">
        <v>15</v>
      </c>
      <c r="F86" t="s">
        <v>16</v>
      </c>
      <c r="G86">
        <v>5350000</v>
      </c>
      <c r="H86">
        <v>5350000</v>
      </c>
      <c r="I86" t="s">
        <v>20</v>
      </c>
      <c r="J86" s="1">
        <v>46187</v>
      </c>
      <c r="K86">
        <v>7000000</v>
      </c>
    </row>
    <row r="87" spans="1:12" x14ac:dyDescent="0.3">
      <c r="A87" t="s">
        <v>126</v>
      </c>
      <c r="B87" s="1">
        <v>45506</v>
      </c>
      <c r="C87" t="s">
        <v>31</v>
      </c>
      <c r="D87" t="s">
        <v>14</v>
      </c>
      <c r="E87" t="s">
        <v>15</v>
      </c>
      <c r="F87" t="s">
        <v>33</v>
      </c>
      <c r="G87">
        <v>8800000</v>
      </c>
      <c r="H87">
        <v>8800000</v>
      </c>
      <c r="I87" t="s">
        <v>20</v>
      </c>
      <c r="J87" s="1">
        <v>46077</v>
      </c>
      <c r="K87">
        <v>7500000</v>
      </c>
      <c r="L87" t="s">
        <v>40</v>
      </c>
    </row>
    <row r="88" spans="1:12" x14ac:dyDescent="0.3">
      <c r="A88" t="s">
        <v>127</v>
      </c>
      <c r="B88" s="1">
        <v>45416</v>
      </c>
      <c r="C88" t="s">
        <v>28</v>
      </c>
      <c r="D88" t="s">
        <v>23</v>
      </c>
      <c r="E88" t="s">
        <v>24</v>
      </c>
      <c r="F88" t="s">
        <v>16</v>
      </c>
      <c r="G88">
        <v>4300000</v>
      </c>
      <c r="H88">
        <v>4300000</v>
      </c>
      <c r="I88" t="s">
        <v>20</v>
      </c>
      <c r="J88" s="1">
        <v>45904</v>
      </c>
      <c r="K88">
        <v>7000000</v>
      </c>
      <c r="L88" t="s">
        <v>18</v>
      </c>
    </row>
    <row r="89" spans="1:12" x14ac:dyDescent="0.3">
      <c r="A89" t="s">
        <v>128</v>
      </c>
      <c r="B89" s="1">
        <v>45462</v>
      </c>
      <c r="C89" t="s">
        <v>35</v>
      </c>
      <c r="D89" t="s">
        <v>14</v>
      </c>
      <c r="E89" t="s">
        <v>15</v>
      </c>
      <c r="F89" t="s">
        <v>16</v>
      </c>
      <c r="G89">
        <v>5950000</v>
      </c>
      <c r="H89">
        <v>5950000</v>
      </c>
      <c r="I89" t="s">
        <v>20</v>
      </c>
      <c r="J89" s="1">
        <v>45762</v>
      </c>
      <c r="K89">
        <v>9000000</v>
      </c>
    </row>
    <row r="90" spans="1:12" x14ac:dyDescent="0.3">
      <c r="A90" t="s">
        <v>129</v>
      </c>
      <c r="B90" s="1">
        <v>45426</v>
      </c>
      <c r="C90" t="s">
        <v>13</v>
      </c>
      <c r="D90" t="s">
        <v>23</v>
      </c>
      <c r="E90" t="s">
        <v>24</v>
      </c>
      <c r="F90" t="s">
        <v>33</v>
      </c>
      <c r="G90">
        <v>8150000</v>
      </c>
      <c r="H90">
        <v>1750000</v>
      </c>
      <c r="I90" t="s">
        <v>26</v>
      </c>
      <c r="J90" s="1">
        <v>45722</v>
      </c>
      <c r="K90">
        <v>8500000</v>
      </c>
      <c r="L90" t="s">
        <v>40</v>
      </c>
    </row>
    <row r="91" spans="1:12" x14ac:dyDescent="0.3">
      <c r="A91" t="s">
        <v>130</v>
      </c>
      <c r="B91" s="1">
        <v>45642</v>
      </c>
      <c r="C91" t="s">
        <v>13</v>
      </c>
      <c r="D91" t="s">
        <v>23</v>
      </c>
      <c r="E91" t="s">
        <v>24</v>
      </c>
      <c r="F91" t="s">
        <v>16</v>
      </c>
      <c r="G91">
        <v>4350000</v>
      </c>
      <c r="H91">
        <v>4350000</v>
      </c>
      <c r="I91" t="s">
        <v>20</v>
      </c>
      <c r="J91" s="1">
        <v>46400</v>
      </c>
      <c r="K91">
        <v>8500000</v>
      </c>
      <c r="L91" t="s">
        <v>42</v>
      </c>
    </row>
    <row r="92" spans="1:12" x14ac:dyDescent="0.3">
      <c r="A92" t="s">
        <v>131</v>
      </c>
      <c r="B92" s="1">
        <v>45424</v>
      </c>
      <c r="C92" t="s">
        <v>31</v>
      </c>
      <c r="D92" t="s">
        <v>23</v>
      </c>
      <c r="E92" t="s">
        <v>24</v>
      </c>
      <c r="F92" t="s">
        <v>33</v>
      </c>
      <c r="G92">
        <v>7000000</v>
      </c>
      <c r="H92">
        <v>7000000</v>
      </c>
      <c r="I92" t="s">
        <v>20</v>
      </c>
      <c r="J92" s="1">
        <v>45947</v>
      </c>
      <c r="K92">
        <v>7500000</v>
      </c>
    </row>
    <row r="93" spans="1:12" x14ac:dyDescent="0.3">
      <c r="A93" t="s">
        <v>132</v>
      </c>
      <c r="B93" s="1">
        <v>45558</v>
      </c>
      <c r="C93" t="s">
        <v>13</v>
      </c>
      <c r="D93" t="s">
        <v>14</v>
      </c>
      <c r="E93" t="s">
        <v>15</v>
      </c>
      <c r="F93" t="s">
        <v>33</v>
      </c>
      <c r="G93">
        <v>8950000</v>
      </c>
      <c r="H93">
        <v>1150000</v>
      </c>
      <c r="I93" t="s">
        <v>26</v>
      </c>
      <c r="J93" s="1">
        <v>46260</v>
      </c>
      <c r="K93">
        <v>8500000</v>
      </c>
    </row>
    <row r="94" spans="1:12" x14ac:dyDescent="0.3">
      <c r="A94" t="s">
        <v>133</v>
      </c>
      <c r="B94" s="1">
        <v>45500</v>
      </c>
      <c r="C94" t="s">
        <v>13</v>
      </c>
      <c r="D94" t="s">
        <v>14</v>
      </c>
      <c r="E94" t="s">
        <v>15</v>
      </c>
      <c r="F94" t="s">
        <v>51</v>
      </c>
      <c r="G94">
        <v>11900000</v>
      </c>
      <c r="H94">
        <v>11900000</v>
      </c>
      <c r="I94" t="s">
        <v>20</v>
      </c>
      <c r="J94" s="1">
        <v>45972</v>
      </c>
      <c r="K94">
        <v>8500000</v>
      </c>
      <c r="L94" t="s">
        <v>42</v>
      </c>
    </row>
    <row r="95" spans="1:12" x14ac:dyDescent="0.3">
      <c r="A95" t="s">
        <v>134</v>
      </c>
      <c r="B95" s="1">
        <v>45430</v>
      </c>
      <c r="C95" t="s">
        <v>22</v>
      </c>
      <c r="D95" t="s">
        <v>44</v>
      </c>
      <c r="E95" t="s">
        <v>45</v>
      </c>
      <c r="F95" t="s">
        <v>16</v>
      </c>
      <c r="G95">
        <v>5900000</v>
      </c>
      <c r="H95">
        <v>1600000</v>
      </c>
      <c r="I95" t="s">
        <v>26</v>
      </c>
      <c r="J95" s="1">
        <v>45643</v>
      </c>
      <c r="K95">
        <v>8000000</v>
      </c>
      <c r="L95" t="s">
        <v>52</v>
      </c>
    </row>
    <row r="96" spans="1:12" x14ac:dyDescent="0.3">
      <c r="A96" t="s">
        <v>135</v>
      </c>
      <c r="B96" s="1">
        <v>45419</v>
      </c>
      <c r="C96" t="s">
        <v>22</v>
      </c>
      <c r="D96" t="s">
        <v>14</v>
      </c>
      <c r="E96" t="s">
        <v>15</v>
      </c>
      <c r="F96" t="s">
        <v>25</v>
      </c>
      <c r="G96">
        <v>3200000</v>
      </c>
      <c r="H96">
        <v>1100000</v>
      </c>
      <c r="I96" t="s">
        <v>26</v>
      </c>
      <c r="J96" s="1">
        <v>45694</v>
      </c>
      <c r="K96">
        <v>8000000</v>
      </c>
      <c r="L96" t="s">
        <v>29</v>
      </c>
    </row>
    <row r="97" spans="1:12" x14ac:dyDescent="0.3">
      <c r="A97" t="s">
        <v>136</v>
      </c>
      <c r="B97" s="1">
        <v>45308</v>
      </c>
      <c r="C97" t="s">
        <v>13</v>
      </c>
      <c r="D97" t="s">
        <v>14</v>
      </c>
      <c r="E97" t="s">
        <v>15</v>
      </c>
      <c r="F97" t="s">
        <v>16</v>
      </c>
      <c r="G97">
        <v>5800000</v>
      </c>
      <c r="H97">
        <v>5800000</v>
      </c>
      <c r="I97" t="s">
        <v>20</v>
      </c>
      <c r="J97" s="1">
        <v>45730</v>
      </c>
      <c r="K97">
        <v>8500000</v>
      </c>
      <c r="L97" t="s">
        <v>29</v>
      </c>
    </row>
    <row r="98" spans="1:12" x14ac:dyDescent="0.3">
      <c r="A98" t="s">
        <v>137</v>
      </c>
      <c r="B98" s="1">
        <v>45524</v>
      </c>
      <c r="C98" t="s">
        <v>13</v>
      </c>
      <c r="D98" t="s">
        <v>14</v>
      </c>
      <c r="E98" t="s">
        <v>15</v>
      </c>
      <c r="F98" t="s">
        <v>51</v>
      </c>
      <c r="G98">
        <v>10300000</v>
      </c>
      <c r="H98">
        <v>0</v>
      </c>
      <c r="I98" t="s">
        <v>17</v>
      </c>
      <c r="J98" s="1">
        <v>46173</v>
      </c>
      <c r="K98">
        <v>8500000</v>
      </c>
      <c r="L98" t="s">
        <v>40</v>
      </c>
    </row>
    <row r="99" spans="1:12" x14ac:dyDescent="0.3">
      <c r="A99" t="s">
        <v>138</v>
      </c>
      <c r="B99" s="1">
        <v>45482</v>
      </c>
      <c r="C99" t="s">
        <v>22</v>
      </c>
      <c r="D99" t="s">
        <v>23</v>
      </c>
      <c r="E99" t="s">
        <v>24</v>
      </c>
      <c r="F99" t="s">
        <v>51</v>
      </c>
      <c r="G99">
        <v>10150000</v>
      </c>
      <c r="H99">
        <v>10150000</v>
      </c>
      <c r="I99" t="s">
        <v>20</v>
      </c>
      <c r="J99" s="1">
        <v>45728</v>
      </c>
      <c r="K99">
        <v>8000000</v>
      </c>
      <c r="L99" t="s">
        <v>29</v>
      </c>
    </row>
    <row r="100" spans="1:12" x14ac:dyDescent="0.3">
      <c r="A100" t="s">
        <v>139</v>
      </c>
      <c r="B100" s="1">
        <v>45537</v>
      </c>
      <c r="C100" t="s">
        <v>28</v>
      </c>
      <c r="D100" t="s">
        <v>23</v>
      </c>
      <c r="E100" t="s">
        <v>24</v>
      </c>
      <c r="F100" t="s">
        <v>33</v>
      </c>
      <c r="G100">
        <v>8600000</v>
      </c>
      <c r="H100">
        <v>8600000</v>
      </c>
      <c r="I100" t="s">
        <v>20</v>
      </c>
      <c r="J100" s="1">
        <v>46114</v>
      </c>
      <c r="K100">
        <v>7000000</v>
      </c>
      <c r="L100" t="s">
        <v>18</v>
      </c>
    </row>
    <row r="101" spans="1:12" x14ac:dyDescent="0.3">
      <c r="A101" t="s">
        <v>140</v>
      </c>
      <c r="B101" s="1">
        <v>45579</v>
      </c>
      <c r="C101" t="s">
        <v>31</v>
      </c>
      <c r="D101" t="s">
        <v>44</v>
      </c>
      <c r="E101" t="s">
        <v>45</v>
      </c>
      <c r="F101" t="s">
        <v>33</v>
      </c>
      <c r="G101">
        <v>8250000</v>
      </c>
      <c r="H101">
        <v>8250000</v>
      </c>
      <c r="I101" t="s">
        <v>20</v>
      </c>
      <c r="J101" s="1">
        <v>46218</v>
      </c>
      <c r="K101">
        <v>7500000</v>
      </c>
      <c r="L101" t="s">
        <v>18</v>
      </c>
    </row>
    <row r="102" spans="1:12" x14ac:dyDescent="0.3">
      <c r="A102" t="s">
        <v>141</v>
      </c>
      <c r="B102" s="1">
        <v>45597</v>
      </c>
      <c r="C102" t="s">
        <v>22</v>
      </c>
      <c r="D102" t="s">
        <v>14</v>
      </c>
      <c r="E102" t="s">
        <v>15</v>
      </c>
      <c r="F102" t="s">
        <v>16</v>
      </c>
      <c r="G102">
        <v>5150000</v>
      </c>
      <c r="H102">
        <v>5150000</v>
      </c>
      <c r="I102" t="s">
        <v>20</v>
      </c>
      <c r="J102" s="1">
        <v>45955</v>
      </c>
      <c r="K102">
        <v>8000000</v>
      </c>
      <c r="L102" t="s">
        <v>38</v>
      </c>
    </row>
    <row r="103" spans="1:12" x14ac:dyDescent="0.3">
      <c r="A103" t="s">
        <v>142</v>
      </c>
      <c r="B103" s="1">
        <v>45483</v>
      </c>
      <c r="C103" t="s">
        <v>35</v>
      </c>
      <c r="D103" t="s">
        <v>23</v>
      </c>
      <c r="E103" t="s">
        <v>24</v>
      </c>
      <c r="F103" t="s">
        <v>51</v>
      </c>
      <c r="G103">
        <v>10700000</v>
      </c>
      <c r="H103">
        <v>10700000</v>
      </c>
      <c r="I103" t="s">
        <v>20</v>
      </c>
      <c r="J103" s="1">
        <v>46279</v>
      </c>
      <c r="K103">
        <v>9000000</v>
      </c>
    </row>
    <row r="104" spans="1:12" x14ac:dyDescent="0.3">
      <c r="A104" t="s">
        <v>143</v>
      </c>
      <c r="B104" s="1">
        <v>45629</v>
      </c>
      <c r="C104" t="s">
        <v>28</v>
      </c>
      <c r="D104" t="s">
        <v>44</v>
      </c>
      <c r="E104" t="s">
        <v>45</v>
      </c>
      <c r="F104" t="s">
        <v>16</v>
      </c>
      <c r="G104">
        <v>5750000</v>
      </c>
      <c r="H104">
        <v>650000</v>
      </c>
      <c r="I104" t="s">
        <v>26</v>
      </c>
      <c r="J104" s="1">
        <v>45838</v>
      </c>
      <c r="K104">
        <v>7000000</v>
      </c>
      <c r="L104" t="s">
        <v>38</v>
      </c>
    </row>
    <row r="105" spans="1:12" x14ac:dyDescent="0.3">
      <c r="A105" t="s">
        <v>144</v>
      </c>
      <c r="B105" s="1">
        <v>45580</v>
      </c>
      <c r="C105" t="s">
        <v>22</v>
      </c>
      <c r="D105" t="s">
        <v>14</v>
      </c>
      <c r="E105" t="s">
        <v>15</v>
      </c>
      <c r="F105" t="s">
        <v>25</v>
      </c>
      <c r="G105">
        <v>3200000</v>
      </c>
      <c r="H105">
        <v>3200000</v>
      </c>
      <c r="I105" t="s">
        <v>20</v>
      </c>
      <c r="J105" s="1">
        <v>46314</v>
      </c>
      <c r="K105">
        <v>8000000</v>
      </c>
    </row>
    <row r="106" spans="1:12" x14ac:dyDescent="0.3">
      <c r="A106" t="s">
        <v>145</v>
      </c>
      <c r="B106" s="1">
        <v>45481</v>
      </c>
      <c r="C106" t="s">
        <v>31</v>
      </c>
      <c r="D106" t="s">
        <v>23</v>
      </c>
      <c r="E106" t="s">
        <v>24</v>
      </c>
      <c r="F106" t="s">
        <v>16</v>
      </c>
      <c r="G106">
        <v>5000000</v>
      </c>
      <c r="H106">
        <v>5000000</v>
      </c>
      <c r="I106" t="s">
        <v>20</v>
      </c>
      <c r="J106" s="1">
        <v>45892</v>
      </c>
      <c r="K106">
        <v>7500000</v>
      </c>
      <c r="L106" t="s">
        <v>18</v>
      </c>
    </row>
    <row r="107" spans="1:12" x14ac:dyDescent="0.3">
      <c r="A107" t="s">
        <v>146</v>
      </c>
      <c r="B107" s="1">
        <v>45558</v>
      </c>
      <c r="C107" t="s">
        <v>13</v>
      </c>
      <c r="D107" t="s">
        <v>23</v>
      </c>
      <c r="E107" t="s">
        <v>24</v>
      </c>
      <c r="F107" t="s">
        <v>16</v>
      </c>
      <c r="G107">
        <v>4150000</v>
      </c>
      <c r="H107">
        <v>0</v>
      </c>
      <c r="I107" t="s">
        <v>17</v>
      </c>
      <c r="J107" s="1">
        <v>46030</v>
      </c>
      <c r="K107">
        <v>8500000</v>
      </c>
      <c r="L107" t="s">
        <v>29</v>
      </c>
    </row>
    <row r="108" spans="1:12" x14ac:dyDescent="0.3">
      <c r="A108" t="s">
        <v>147</v>
      </c>
      <c r="B108" s="1">
        <v>45551</v>
      </c>
      <c r="C108" t="s">
        <v>35</v>
      </c>
      <c r="D108" t="s">
        <v>23</v>
      </c>
      <c r="E108" t="s">
        <v>24</v>
      </c>
      <c r="F108" t="s">
        <v>33</v>
      </c>
      <c r="G108">
        <v>7750000</v>
      </c>
      <c r="H108">
        <v>2100000</v>
      </c>
      <c r="I108" t="s">
        <v>26</v>
      </c>
      <c r="J108" s="1">
        <v>46406</v>
      </c>
      <c r="K108">
        <v>9000000</v>
      </c>
    </row>
    <row r="109" spans="1:12" x14ac:dyDescent="0.3">
      <c r="A109" t="s">
        <v>148</v>
      </c>
      <c r="B109" s="1">
        <v>45568</v>
      </c>
      <c r="C109" t="s">
        <v>28</v>
      </c>
      <c r="D109" t="s">
        <v>44</v>
      </c>
      <c r="E109" t="s">
        <v>45</v>
      </c>
      <c r="F109" t="s">
        <v>16</v>
      </c>
      <c r="G109">
        <v>5000000</v>
      </c>
      <c r="H109">
        <v>5000000</v>
      </c>
      <c r="I109" t="s">
        <v>20</v>
      </c>
      <c r="J109" s="1">
        <v>45862</v>
      </c>
      <c r="K109">
        <v>7000000</v>
      </c>
      <c r="L109" t="s">
        <v>40</v>
      </c>
    </row>
    <row r="110" spans="1:12" x14ac:dyDescent="0.3">
      <c r="A110" t="s">
        <v>149</v>
      </c>
      <c r="B110" s="1">
        <v>45324</v>
      </c>
      <c r="C110" t="s">
        <v>28</v>
      </c>
      <c r="D110" t="s">
        <v>23</v>
      </c>
      <c r="E110" t="s">
        <v>24</v>
      </c>
      <c r="F110" t="s">
        <v>51</v>
      </c>
      <c r="G110">
        <v>11300000</v>
      </c>
      <c r="H110">
        <v>2050000</v>
      </c>
      <c r="I110" t="s">
        <v>26</v>
      </c>
      <c r="J110" s="1">
        <v>45794</v>
      </c>
      <c r="K110">
        <v>7000000</v>
      </c>
      <c r="L110" t="s">
        <v>40</v>
      </c>
    </row>
    <row r="111" spans="1:12" x14ac:dyDescent="0.3">
      <c r="A111" t="s">
        <v>150</v>
      </c>
      <c r="B111" s="1">
        <v>45440</v>
      </c>
      <c r="C111" t="s">
        <v>31</v>
      </c>
      <c r="D111" t="s">
        <v>44</v>
      </c>
      <c r="E111" t="s">
        <v>45</v>
      </c>
      <c r="F111" t="s">
        <v>33</v>
      </c>
      <c r="G111">
        <v>7850000</v>
      </c>
      <c r="H111">
        <v>2200000</v>
      </c>
      <c r="I111" t="s">
        <v>26</v>
      </c>
      <c r="J111" s="1">
        <v>46308</v>
      </c>
      <c r="K111">
        <v>7500000</v>
      </c>
      <c r="L111" t="s">
        <v>40</v>
      </c>
    </row>
    <row r="112" spans="1:12" x14ac:dyDescent="0.3">
      <c r="A112" t="s">
        <v>151</v>
      </c>
      <c r="B112" s="1">
        <v>45416</v>
      </c>
      <c r="C112" t="s">
        <v>28</v>
      </c>
      <c r="D112" t="s">
        <v>23</v>
      </c>
      <c r="E112" t="s">
        <v>24</v>
      </c>
      <c r="F112" t="s">
        <v>16</v>
      </c>
      <c r="G112">
        <v>5150000</v>
      </c>
      <c r="H112">
        <v>5150000</v>
      </c>
      <c r="I112" t="s">
        <v>20</v>
      </c>
      <c r="J112" s="1">
        <v>45885</v>
      </c>
      <c r="K112">
        <v>7000000</v>
      </c>
    </row>
    <row r="113" spans="1:12" x14ac:dyDescent="0.3">
      <c r="A113" t="s">
        <v>152</v>
      </c>
      <c r="B113" s="1">
        <v>45622</v>
      </c>
      <c r="C113" t="s">
        <v>35</v>
      </c>
      <c r="D113" t="s">
        <v>14</v>
      </c>
      <c r="E113" t="s">
        <v>15</v>
      </c>
      <c r="F113" t="s">
        <v>33</v>
      </c>
      <c r="G113">
        <v>6700000</v>
      </c>
      <c r="H113">
        <v>6700000</v>
      </c>
      <c r="I113" t="s">
        <v>20</v>
      </c>
      <c r="J113" s="1">
        <v>46018</v>
      </c>
      <c r="K113">
        <v>9000000</v>
      </c>
    </row>
    <row r="114" spans="1:12" x14ac:dyDescent="0.3">
      <c r="A114" t="s">
        <v>153</v>
      </c>
      <c r="B114" s="1">
        <v>45527</v>
      </c>
      <c r="C114" t="s">
        <v>31</v>
      </c>
      <c r="D114" t="s">
        <v>23</v>
      </c>
      <c r="E114" t="s">
        <v>24</v>
      </c>
      <c r="F114" t="s">
        <v>16</v>
      </c>
      <c r="G114">
        <v>4300000</v>
      </c>
      <c r="H114">
        <v>0</v>
      </c>
      <c r="I114" t="s">
        <v>17</v>
      </c>
      <c r="J114" s="1">
        <v>46266</v>
      </c>
      <c r="K114">
        <v>7500000</v>
      </c>
    </row>
    <row r="115" spans="1:12" x14ac:dyDescent="0.3">
      <c r="A115" t="s">
        <v>154</v>
      </c>
      <c r="B115" s="1">
        <v>45476</v>
      </c>
      <c r="C115" t="s">
        <v>35</v>
      </c>
      <c r="D115" t="s">
        <v>44</v>
      </c>
      <c r="E115" t="s">
        <v>45</v>
      </c>
      <c r="F115" t="s">
        <v>33</v>
      </c>
      <c r="G115">
        <v>8600000</v>
      </c>
      <c r="H115">
        <v>2450000</v>
      </c>
      <c r="I115" t="s">
        <v>26</v>
      </c>
      <c r="J115" s="1">
        <v>46124</v>
      </c>
      <c r="K115">
        <v>9000000</v>
      </c>
      <c r="L115" t="s">
        <v>38</v>
      </c>
    </row>
    <row r="116" spans="1:12" x14ac:dyDescent="0.3">
      <c r="A116" t="s">
        <v>155</v>
      </c>
      <c r="B116" s="1">
        <v>45427</v>
      </c>
      <c r="C116" t="s">
        <v>22</v>
      </c>
      <c r="D116" t="s">
        <v>14</v>
      </c>
      <c r="E116" t="s">
        <v>15</v>
      </c>
      <c r="F116" t="s">
        <v>33</v>
      </c>
      <c r="G116">
        <v>6800000</v>
      </c>
      <c r="H116">
        <v>6800000</v>
      </c>
      <c r="I116" t="s">
        <v>20</v>
      </c>
      <c r="J116" s="1">
        <v>45609</v>
      </c>
      <c r="K116">
        <v>8000000</v>
      </c>
    </row>
    <row r="117" spans="1:12" x14ac:dyDescent="0.3">
      <c r="A117" t="s">
        <v>156</v>
      </c>
      <c r="B117" s="1">
        <v>45648</v>
      </c>
      <c r="C117" t="s">
        <v>13</v>
      </c>
      <c r="D117" t="s">
        <v>14</v>
      </c>
      <c r="E117" t="s">
        <v>15</v>
      </c>
      <c r="F117" t="s">
        <v>16</v>
      </c>
      <c r="G117">
        <v>5400000</v>
      </c>
      <c r="H117">
        <v>0</v>
      </c>
      <c r="I117" t="s">
        <v>17</v>
      </c>
      <c r="J117" s="1">
        <v>45833</v>
      </c>
      <c r="K117">
        <v>8500000</v>
      </c>
      <c r="L117" t="s">
        <v>38</v>
      </c>
    </row>
    <row r="118" spans="1:12" x14ac:dyDescent="0.3">
      <c r="A118" t="s">
        <v>157</v>
      </c>
      <c r="B118" s="1">
        <v>45296</v>
      </c>
      <c r="C118" t="s">
        <v>28</v>
      </c>
      <c r="D118" t="s">
        <v>14</v>
      </c>
      <c r="E118" t="s">
        <v>15</v>
      </c>
      <c r="F118" t="s">
        <v>16</v>
      </c>
      <c r="G118">
        <v>4550000</v>
      </c>
      <c r="H118">
        <v>4550000</v>
      </c>
      <c r="I118" t="s">
        <v>20</v>
      </c>
      <c r="J118" s="1">
        <v>45585</v>
      </c>
      <c r="K118">
        <v>7000000</v>
      </c>
    </row>
    <row r="119" spans="1:12" x14ac:dyDescent="0.3">
      <c r="A119" t="s">
        <v>158</v>
      </c>
      <c r="B119" s="1">
        <v>45486</v>
      </c>
      <c r="C119" t="s">
        <v>28</v>
      </c>
      <c r="D119" t="s">
        <v>56</v>
      </c>
      <c r="E119" t="s">
        <v>24</v>
      </c>
      <c r="F119" t="s">
        <v>33</v>
      </c>
      <c r="G119">
        <v>7900000</v>
      </c>
      <c r="H119">
        <v>7900000</v>
      </c>
      <c r="I119" t="s">
        <v>20</v>
      </c>
      <c r="J119" s="1">
        <v>46166</v>
      </c>
      <c r="K119">
        <v>7000000</v>
      </c>
    </row>
    <row r="120" spans="1:12" x14ac:dyDescent="0.3">
      <c r="A120" t="s">
        <v>159</v>
      </c>
      <c r="B120" s="1">
        <v>45355</v>
      </c>
      <c r="C120" t="s">
        <v>13</v>
      </c>
      <c r="D120" t="s">
        <v>23</v>
      </c>
      <c r="E120" t="s">
        <v>24</v>
      </c>
      <c r="F120" t="s">
        <v>51</v>
      </c>
      <c r="G120">
        <v>12550000</v>
      </c>
      <c r="H120">
        <v>2000000</v>
      </c>
      <c r="I120" t="s">
        <v>26</v>
      </c>
      <c r="J120" s="1">
        <v>45606</v>
      </c>
      <c r="K120">
        <v>8500000</v>
      </c>
      <c r="L120" t="s">
        <v>42</v>
      </c>
    </row>
    <row r="121" spans="1:12" x14ac:dyDescent="0.3">
      <c r="A121" t="s">
        <v>160</v>
      </c>
      <c r="B121" s="1">
        <v>45450</v>
      </c>
      <c r="C121" t="s">
        <v>28</v>
      </c>
      <c r="D121" t="s">
        <v>23</v>
      </c>
      <c r="E121" t="s">
        <v>24</v>
      </c>
      <c r="F121" t="s">
        <v>51</v>
      </c>
      <c r="G121">
        <v>10550000</v>
      </c>
      <c r="H121">
        <v>0</v>
      </c>
      <c r="I121" t="s">
        <v>17</v>
      </c>
      <c r="J121" s="1">
        <v>46349</v>
      </c>
      <c r="K121">
        <v>7000000</v>
      </c>
    </row>
    <row r="122" spans="1:12" x14ac:dyDescent="0.3">
      <c r="A122" t="s">
        <v>161</v>
      </c>
      <c r="B122" s="1">
        <v>45603</v>
      </c>
      <c r="C122" t="s">
        <v>31</v>
      </c>
      <c r="D122" t="s">
        <v>14</v>
      </c>
      <c r="E122" t="s">
        <v>15</v>
      </c>
      <c r="F122" t="s">
        <v>16</v>
      </c>
      <c r="G122">
        <v>4950000</v>
      </c>
      <c r="H122">
        <v>900000</v>
      </c>
      <c r="I122" t="s">
        <v>26</v>
      </c>
      <c r="J122" s="1">
        <v>46438</v>
      </c>
      <c r="K122">
        <v>7500000</v>
      </c>
    </row>
    <row r="123" spans="1:12" x14ac:dyDescent="0.3">
      <c r="A123" t="s">
        <v>162</v>
      </c>
      <c r="B123" s="1">
        <v>45418</v>
      </c>
      <c r="C123" t="s">
        <v>31</v>
      </c>
      <c r="D123" t="s">
        <v>14</v>
      </c>
      <c r="E123" t="s">
        <v>114</v>
      </c>
      <c r="F123" t="s">
        <v>33</v>
      </c>
      <c r="G123">
        <v>8800000</v>
      </c>
      <c r="H123">
        <v>8800000</v>
      </c>
      <c r="I123" t="s">
        <v>20</v>
      </c>
      <c r="J123" s="1">
        <v>46200</v>
      </c>
      <c r="K123">
        <v>7500000</v>
      </c>
      <c r="L123" t="s">
        <v>29</v>
      </c>
    </row>
    <row r="124" spans="1:12" x14ac:dyDescent="0.3">
      <c r="A124" t="s">
        <v>163</v>
      </c>
      <c r="B124" s="1">
        <v>45550</v>
      </c>
      <c r="C124" t="s">
        <v>13</v>
      </c>
      <c r="D124" t="s">
        <v>14</v>
      </c>
      <c r="E124" t="s">
        <v>15</v>
      </c>
      <c r="F124" t="s">
        <v>25</v>
      </c>
      <c r="G124">
        <v>3150000</v>
      </c>
      <c r="H124">
        <v>1100000</v>
      </c>
      <c r="I124" t="s">
        <v>26</v>
      </c>
      <c r="J124" s="1">
        <v>45775</v>
      </c>
      <c r="K124">
        <v>8500000</v>
      </c>
      <c r="L124" t="s">
        <v>42</v>
      </c>
    </row>
    <row r="125" spans="1:12" x14ac:dyDescent="0.3">
      <c r="A125" t="s">
        <v>164</v>
      </c>
      <c r="B125" s="1">
        <v>45655</v>
      </c>
      <c r="C125" t="s">
        <v>22</v>
      </c>
      <c r="D125" t="s">
        <v>23</v>
      </c>
      <c r="E125" t="s">
        <v>24</v>
      </c>
      <c r="F125" t="s">
        <v>16</v>
      </c>
      <c r="G125">
        <v>5800000</v>
      </c>
      <c r="H125">
        <v>5800000</v>
      </c>
      <c r="I125" t="s">
        <v>20</v>
      </c>
      <c r="J125" s="1">
        <v>46552</v>
      </c>
      <c r="K125">
        <v>8000000</v>
      </c>
      <c r="L125" t="s">
        <v>52</v>
      </c>
    </row>
    <row r="126" spans="1:12" x14ac:dyDescent="0.3">
      <c r="A126" t="s">
        <v>165</v>
      </c>
      <c r="B126" s="1">
        <v>45653</v>
      </c>
      <c r="C126" t="s">
        <v>166</v>
      </c>
      <c r="D126" t="s">
        <v>23</v>
      </c>
      <c r="E126" t="s">
        <v>24</v>
      </c>
      <c r="F126" t="s">
        <v>16</v>
      </c>
      <c r="G126">
        <v>5150000</v>
      </c>
      <c r="H126">
        <v>1150000</v>
      </c>
      <c r="I126" t="s">
        <v>26</v>
      </c>
      <c r="J126" s="1">
        <v>46044</v>
      </c>
      <c r="K126">
        <v>7500000</v>
      </c>
    </row>
    <row r="127" spans="1:12" x14ac:dyDescent="0.3">
      <c r="A127" t="s">
        <v>167</v>
      </c>
      <c r="B127" s="1">
        <v>45404</v>
      </c>
      <c r="C127" t="s">
        <v>35</v>
      </c>
      <c r="D127" t="s">
        <v>14</v>
      </c>
      <c r="E127" t="s">
        <v>15</v>
      </c>
      <c r="F127" t="s">
        <v>33</v>
      </c>
      <c r="G127">
        <v>7700000</v>
      </c>
      <c r="H127">
        <v>7700000</v>
      </c>
      <c r="I127" t="s">
        <v>20</v>
      </c>
      <c r="J127" s="1">
        <v>46052</v>
      </c>
      <c r="K127">
        <v>9000000</v>
      </c>
    </row>
    <row r="128" spans="1:12" x14ac:dyDescent="0.3">
      <c r="A128" t="s">
        <v>168</v>
      </c>
      <c r="B128" s="1">
        <v>45441</v>
      </c>
      <c r="C128" t="s">
        <v>22</v>
      </c>
      <c r="D128" t="s">
        <v>23</v>
      </c>
      <c r="E128" t="s">
        <v>24</v>
      </c>
      <c r="F128" t="s">
        <v>33</v>
      </c>
      <c r="G128">
        <v>8600000</v>
      </c>
      <c r="H128">
        <v>8600000</v>
      </c>
      <c r="I128" t="s">
        <v>20</v>
      </c>
      <c r="J128" s="1">
        <v>46269</v>
      </c>
      <c r="K128">
        <v>8000000</v>
      </c>
      <c r="L128" t="s">
        <v>18</v>
      </c>
    </row>
    <row r="129" spans="1:12" x14ac:dyDescent="0.3">
      <c r="A129" t="s">
        <v>169</v>
      </c>
      <c r="B129" s="1">
        <v>45618</v>
      </c>
      <c r="C129" t="s">
        <v>28</v>
      </c>
      <c r="D129" t="s">
        <v>14</v>
      </c>
      <c r="E129" t="s">
        <v>15</v>
      </c>
      <c r="F129" t="s">
        <v>16</v>
      </c>
      <c r="G129">
        <v>5950000</v>
      </c>
      <c r="H129">
        <v>5950000</v>
      </c>
      <c r="I129" t="s">
        <v>20</v>
      </c>
      <c r="J129" s="1">
        <v>45933</v>
      </c>
      <c r="K129">
        <v>7000000</v>
      </c>
    </row>
    <row r="130" spans="1:12" x14ac:dyDescent="0.3">
      <c r="A130" t="s">
        <v>170</v>
      </c>
      <c r="B130" s="1">
        <v>45522</v>
      </c>
      <c r="C130" t="s">
        <v>31</v>
      </c>
      <c r="D130" t="s">
        <v>44</v>
      </c>
      <c r="E130" t="s">
        <v>45</v>
      </c>
      <c r="F130" t="s">
        <v>33</v>
      </c>
      <c r="G130">
        <v>8100000</v>
      </c>
      <c r="H130">
        <v>8100000</v>
      </c>
      <c r="I130" t="s">
        <v>20</v>
      </c>
      <c r="J130" s="1">
        <v>45731</v>
      </c>
      <c r="K130">
        <v>7500000</v>
      </c>
    </row>
    <row r="131" spans="1:12" x14ac:dyDescent="0.3">
      <c r="A131" t="s">
        <v>171</v>
      </c>
      <c r="B131" s="1">
        <v>45485</v>
      </c>
      <c r="C131" t="s">
        <v>28</v>
      </c>
      <c r="D131" t="s">
        <v>14</v>
      </c>
      <c r="E131" t="s">
        <v>15</v>
      </c>
      <c r="F131" t="s">
        <v>33</v>
      </c>
      <c r="G131">
        <v>7200000</v>
      </c>
      <c r="H131">
        <v>7200000</v>
      </c>
      <c r="I131" t="s">
        <v>20</v>
      </c>
      <c r="J131" s="1">
        <v>46176</v>
      </c>
      <c r="K131">
        <v>7000000</v>
      </c>
    </row>
    <row r="132" spans="1:12" x14ac:dyDescent="0.3">
      <c r="A132" t="s">
        <v>172</v>
      </c>
      <c r="B132" s="1">
        <v>45329</v>
      </c>
      <c r="C132" t="s">
        <v>31</v>
      </c>
      <c r="D132" t="s">
        <v>44</v>
      </c>
      <c r="E132" t="s">
        <v>45</v>
      </c>
      <c r="F132" t="s">
        <v>33</v>
      </c>
      <c r="G132">
        <v>8850000</v>
      </c>
      <c r="H132">
        <v>8850000</v>
      </c>
      <c r="I132" t="s">
        <v>20</v>
      </c>
      <c r="J132" s="1">
        <v>45999</v>
      </c>
      <c r="K132">
        <v>7500000</v>
      </c>
      <c r="L132" t="s">
        <v>29</v>
      </c>
    </row>
    <row r="133" spans="1:12" x14ac:dyDescent="0.3">
      <c r="A133" t="s">
        <v>173</v>
      </c>
      <c r="B133" s="1">
        <v>45434</v>
      </c>
      <c r="C133" t="s">
        <v>22</v>
      </c>
      <c r="D133" t="s">
        <v>14</v>
      </c>
      <c r="E133" t="s">
        <v>15</v>
      </c>
      <c r="F133" t="s">
        <v>16</v>
      </c>
      <c r="G133">
        <v>4700000</v>
      </c>
      <c r="H133">
        <v>4700000</v>
      </c>
      <c r="I133" t="s">
        <v>20</v>
      </c>
      <c r="J133" s="1">
        <v>46082</v>
      </c>
      <c r="K133">
        <v>8000000</v>
      </c>
      <c r="L133" t="s">
        <v>38</v>
      </c>
    </row>
    <row r="134" spans="1:12" x14ac:dyDescent="0.3">
      <c r="A134" t="s">
        <v>174</v>
      </c>
      <c r="B134" s="1">
        <v>45372</v>
      </c>
      <c r="C134" t="s">
        <v>13</v>
      </c>
      <c r="D134" t="s">
        <v>23</v>
      </c>
      <c r="E134" t="s">
        <v>175</v>
      </c>
      <c r="F134" t="s">
        <v>16</v>
      </c>
      <c r="G134">
        <v>4700000</v>
      </c>
      <c r="H134">
        <v>650000</v>
      </c>
      <c r="I134" t="s">
        <v>26</v>
      </c>
      <c r="J134" s="1">
        <v>45878</v>
      </c>
      <c r="K134">
        <v>8500000</v>
      </c>
      <c r="L134" t="s">
        <v>40</v>
      </c>
    </row>
    <row r="135" spans="1:12" x14ac:dyDescent="0.3">
      <c r="A135" t="s">
        <v>176</v>
      </c>
      <c r="B135" s="1">
        <v>45597</v>
      </c>
      <c r="C135" t="s">
        <v>28</v>
      </c>
      <c r="D135" t="s">
        <v>23</v>
      </c>
      <c r="E135" t="s">
        <v>24</v>
      </c>
      <c r="F135" t="s">
        <v>25</v>
      </c>
      <c r="G135">
        <v>2800000</v>
      </c>
      <c r="H135">
        <v>600000</v>
      </c>
      <c r="I135" t="s">
        <v>26</v>
      </c>
      <c r="J135" s="1">
        <v>45863</v>
      </c>
      <c r="K135">
        <v>7000000</v>
      </c>
    </row>
    <row r="136" spans="1:12" x14ac:dyDescent="0.3">
      <c r="A136" t="s">
        <v>177</v>
      </c>
      <c r="B136" s="1">
        <v>45564</v>
      </c>
      <c r="C136" t="s">
        <v>35</v>
      </c>
      <c r="D136" t="s">
        <v>23</v>
      </c>
      <c r="E136" t="s">
        <v>24</v>
      </c>
      <c r="F136" t="s">
        <v>33</v>
      </c>
      <c r="G136">
        <v>8550000</v>
      </c>
      <c r="H136">
        <v>8550000</v>
      </c>
      <c r="I136" t="s">
        <v>20</v>
      </c>
      <c r="J136" s="1">
        <v>45996</v>
      </c>
      <c r="K136">
        <v>9000000</v>
      </c>
      <c r="L136" t="s">
        <v>18</v>
      </c>
    </row>
    <row r="137" spans="1:12" x14ac:dyDescent="0.3">
      <c r="A137" t="s">
        <v>178</v>
      </c>
      <c r="B137" s="1">
        <v>45415</v>
      </c>
      <c r="C137" t="s">
        <v>35</v>
      </c>
      <c r="D137" t="s">
        <v>44</v>
      </c>
      <c r="E137" t="s">
        <v>45</v>
      </c>
      <c r="F137" t="s">
        <v>16</v>
      </c>
      <c r="G137">
        <v>5650000</v>
      </c>
      <c r="H137">
        <v>700000</v>
      </c>
      <c r="I137" t="s">
        <v>26</v>
      </c>
      <c r="J137" s="1">
        <v>46207</v>
      </c>
      <c r="K137">
        <v>9000000</v>
      </c>
    </row>
    <row r="138" spans="1:12" x14ac:dyDescent="0.3">
      <c r="A138" t="s">
        <v>179</v>
      </c>
      <c r="B138" s="1">
        <v>45576</v>
      </c>
      <c r="C138" t="s">
        <v>31</v>
      </c>
      <c r="D138" t="s">
        <v>44</v>
      </c>
      <c r="E138" t="s">
        <v>45</v>
      </c>
      <c r="F138" t="s">
        <v>33</v>
      </c>
      <c r="G138">
        <v>8550000</v>
      </c>
      <c r="H138">
        <v>2900000</v>
      </c>
      <c r="I138" t="s">
        <v>26</v>
      </c>
      <c r="J138" s="1">
        <v>45851</v>
      </c>
      <c r="K138">
        <v>7500000</v>
      </c>
      <c r="L138" t="s">
        <v>18</v>
      </c>
    </row>
    <row r="139" spans="1:12" x14ac:dyDescent="0.3">
      <c r="A139" t="s">
        <v>180</v>
      </c>
      <c r="B139" s="1">
        <v>45505</v>
      </c>
      <c r="C139" t="s">
        <v>28</v>
      </c>
      <c r="D139" t="s">
        <v>23</v>
      </c>
      <c r="E139" t="s">
        <v>24</v>
      </c>
      <c r="F139" t="s">
        <v>16</v>
      </c>
      <c r="G139">
        <v>4550000</v>
      </c>
      <c r="H139">
        <v>4550000</v>
      </c>
      <c r="I139" t="s">
        <v>20</v>
      </c>
      <c r="J139" s="1">
        <v>46023</v>
      </c>
      <c r="K139">
        <v>7000000</v>
      </c>
      <c r="L139" t="s">
        <v>38</v>
      </c>
    </row>
    <row r="140" spans="1:12" x14ac:dyDescent="0.3">
      <c r="A140" t="s">
        <v>181</v>
      </c>
      <c r="B140" s="1">
        <v>45361</v>
      </c>
      <c r="C140" t="s">
        <v>22</v>
      </c>
      <c r="D140" t="s">
        <v>56</v>
      </c>
      <c r="E140" t="s">
        <v>24</v>
      </c>
      <c r="F140" t="s">
        <v>25</v>
      </c>
      <c r="G140">
        <v>2800000</v>
      </c>
      <c r="H140">
        <v>2800000</v>
      </c>
      <c r="I140" t="s">
        <v>20</v>
      </c>
      <c r="J140" s="1">
        <v>45585</v>
      </c>
      <c r="K140">
        <v>8000000</v>
      </c>
      <c r="L140" t="s">
        <v>29</v>
      </c>
    </row>
    <row r="141" spans="1:12" x14ac:dyDescent="0.3">
      <c r="A141" t="s">
        <v>182</v>
      </c>
      <c r="B141" s="1">
        <v>45560</v>
      </c>
      <c r="C141" t="s">
        <v>28</v>
      </c>
      <c r="D141" t="s">
        <v>23</v>
      </c>
      <c r="E141" t="s">
        <v>24</v>
      </c>
      <c r="F141" t="s">
        <v>16</v>
      </c>
      <c r="G141">
        <v>5950000</v>
      </c>
      <c r="H141">
        <v>5950000</v>
      </c>
      <c r="I141" t="s">
        <v>20</v>
      </c>
      <c r="J141" s="1">
        <v>46136</v>
      </c>
      <c r="K141">
        <v>7000000</v>
      </c>
    </row>
    <row r="142" spans="1:12" x14ac:dyDescent="0.3">
      <c r="A142" t="s">
        <v>183</v>
      </c>
      <c r="B142" s="1">
        <v>45595</v>
      </c>
      <c r="C142" t="s">
        <v>35</v>
      </c>
      <c r="D142" t="s">
        <v>23</v>
      </c>
      <c r="E142" t="s">
        <v>24</v>
      </c>
      <c r="F142" t="s">
        <v>33</v>
      </c>
      <c r="G142">
        <v>8850000</v>
      </c>
      <c r="H142">
        <v>8850000</v>
      </c>
      <c r="J142" s="1">
        <v>46261</v>
      </c>
      <c r="K142">
        <v>9000000</v>
      </c>
      <c r="L142" t="s">
        <v>42</v>
      </c>
    </row>
    <row r="143" spans="1:12" x14ac:dyDescent="0.3">
      <c r="A143" t="s">
        <v>184</v>
      </c>
      <c r="B143" s="1">
        <v>45416</v>
      </c>
      <c r="C143" t="s">
        <v>22</v>
      </c>
      <c r="D143" t="s">
        <v>44</v>
      </c>
      <c r="E143" t="s">
        <v>45</v>
      </c>
      <c r="F143" t="s">
        <v>16</v>
      </c>
      <c r="G143">
        <v>5350000</v>
      </c>
      <c r="H143">
        <v>5350000</v>
      </c>
      <c r="I143" t="s">
        <v>20</v>
      </c>
      <c r="J143" s="1">
        <v>45649</v>
      </c>
      <c r="K143">
        <v>8000000</v>
      </c>
      <c r="L143" t="s">
        <v>38</v>
      </c>
    </row>
    <row r="144" spans="1:12" x14ac:dyDescent="0.3">
      <c r="A144" t="s">
        <v>185</v>
      </c>
      <c r="B144" s="1">
        <v>45405</v>
      </c>
      <c r="C144" t="s">
        <v>13</v>
      </c>
      <c r="D144" t="s">
        <v>14</v>
      </c>
      <c r="E144" t="s">
        <v>15</v>
      </c>
      <c r="F144" t="s">
        <v>16</v>
      </c>
      <c r="G144">
        <v>4100000</v>
      </c>
      <c r="H144">
        <v>1050000</v>
      </c>
      <c r="I144" t="s">
        <v>26</v>
      </c>
      <c r="J144" s="1">
        <v>45826</v>
      </c>
      <c r="K144">
        <v>8500000</v>
      </c>
    </row>
    <row r="145" spans="1:12" x14ac:dyDescent="0.3">
      <c r="A145" t="s">
        <v>186</v>
      </c>
      <c r="B145" s="1">
        <v>45361</v>
      </c>
      <c r="C145" t="s">
        <v>13</v>
      </c>
      <c r="D145" t="s">
        <v>23</v>
      </c>
      <c r="E145" t="s">
        <v>24</v>
      </c>
      <c r="F145" t="s">
        <v>51</v>
      </c>
      <c r="G145">
        <v>10550000</v>
      </c>
      <c r="H145">
        <v>0</v>
      </c>
      <c r="I145" t="s">
        <v>17</v>
      </c>
      <c r="J145" s="1">
        <v>45676</v>
      </c>
      <c r="K145">
        <v>8500000</v>
      </c>
      <c r="L145" t="s">
        <v>29</v>
      </c>
    </row>
    <row r="146" spans="1:12" x14ac:dyDescent="0.3">
      <c r="A146" t="s">
        <v>187</v>
      </c>
      <c r="B146" s="1">
        <v>45592</v>
      </c>
      <c r="C146" t="s">
        <v>35</v>
      </c>
      <c r="D146" t="s">
        <v>23</v>
      </c>
      <c r="E146" t="s">
        <v>24</v>
      </c>
      <c r="F146" t="s">
        <v>33</v>
      </c>
      <c r="G146">
        <v>7550000</v>
      </c>
      <c r="H146">
        <v>2650000</v>
      </c>
      <c r="I146" t="s">
        <v>26</v>
      </c>
      <c r="J146" s="1">
        <v>45975</v>
      </c>
      <c r="K146">
        <v>9000000</v>
      </c>
    </row>
    <row r="147" spans="1:12" x14ac:dyDescent="0.3">
      <c r="A147" t="s">
        <v>188</v>
      </c>
      <c r="B147" s="1">
        <v>45480</v>
      </c>
      <c r="C147" t="s">
        <v>31</v>
      </c>
      <c r="D147" t="s">
        <v>14</v>
      </c>
      <c r="E147" t="s">
        <v>15</v>
      </c>
      <c r="F147" t="s">
        <v>33</v>
      </c>
      <c r="G147">
        <v>7000000</v>
      </c>
      <c r="H147">
        <v>7000000</v>
      </c>
      <c r="I147" t="s">
        <v>20</v>
      </c>
      <c r="J147" s="1">
        <v>46181</v>
      </c>
      <c r="K147">
        <v>7500000</v>
      </c>
      <c r="L147" t="s">
        <v>42</v>
      </c>
    </row>
    <row r="148" spans="1:12" x14ac:dyDescent="0.3">
      <c r="A148" t="s">
        <v>189</v>
      </c>
      <c r="B148" s="1">
        <v>45441</v>
      </c>
      <c r="C148" t="s">
        <v>28</v>
      </c>
      <c r="D148" t="s">
        <v>44</v>
      </c>
      <c r="E148" t="s">
        <v>45</v>
      </c>
      <c r="F148" t="s">
        <v>33</v>
      </c>
      <c r="G148">
        <v>7500000</v>
      </c>
      <c r="H148">
        <v>1600000</v>
      </c>
      <c r="I148" t="s">
        <v>26</v>
      </c>
      <c r="J148" s="1">
        <v>46126</v>
      </c>
      <c r="K148">
        <v>7000000</v>
      </c>
      <c r="L148" t="s">
        <v>29</v>
      </c>
    </row>
    <row r="149" spans="1:12" x14ac:dyDescent="0.3">
      <c r="A149" t="s">
        <v>190</v>
      </c>
      <c r="B149" s="1">
        <v>45364</v>
      </c>
      <c r="C149" t="s">
        <v>35</v>
      </c>
      <c r="D149" t="s">
        <v>23</v>
      </c>
      <c r="E149" t="s">
        <v>175</v>
      </c>
      <c r="F149" t="s">
        <v>51</v>
      </c>
      <c r="G149">
        <v>11250000</v>
      </c>
      <c r="H149">
        <v>2750000</v>
      </c>
      <c r="I149" t="s">
        <v>26</v>
      </c>
      <c r="J149" s="1">
        <v>46031</v>
      </c>
      <c r="K149">
        <v>9000000</v>
      </c>
      <c r="L149" t="s">
        <v>38</v>
      </c>
    </row>
    <row r="150" spans="1:12" x14ac:dyDescent="0.3">
      <c r="A150" t="s">
        <v>191</v>
      </c>
      <c r="B150" s="1">
        <v>45563</v>
      </c>
      <c r="C150" t="s">
        <v>35</v>
      </c>
      <c r="D150" t="s">
        <v>14</v>
      </c>
      <c r="E150" t="s">
        <v>15</v>
      </c>
      <c r="F150" t="s">
        <v>16</v>
      </c>
      <c r="G150">
        <v>4200000</v>
      </c>
      <c r="H150">
        <v>4200000</v>
      </c>
      <c r="I150" t="s">
        <v>20</v>
      </c>
      <c r="J150" s="1">
        <v>46415</v>
      </c>
      <c r="K150">
        <v>9000000</v>
      </c>
      <c r="L150" t="s">
        <v>29</v>
      </c>
    </row>
    <row r="151" spans="1:12" x14ac:dyDescent="0.3">
      <c r="A151" t="s">
        <v>192</v>
      </c>
      <c r="B151" s="1">
        <v>45530</v>
      </c>
      <c r="C151" t="s">
        <v>35</v>
      </c>
      <c r="D151" t="s">
        <v>56</v>
      </c>
      <c r="E151" t="s">
        <v>24</v>
      </c>
      <c r="F151" t="s">
        <v>16</v>
      </c>
      <c r="G151">
        <v>4200000</v>
      </c>
      <c r="H151">
        <v>1000000</v>
      </c>
      <c r="I151" t="s">
        <v>26</v>
      </c>
      <c r="J151" s="1">
        <v>46087</v>
      </c>
      <c r="K151">
        <v>9000000</v>
      </c>
      <c r="L151" t="s">
        <v>29</v>
      </c>
    </row>
    <row r="152" spans="1:12" x14ac:dyDescent="0.3">
      <c r="A152" t="s">
        <v>193</v>
      </c>
      <c r="B152" s="1">
        <v>45414</v>
      </c>
      <c r="C152" t="s">
        <v>22</v>
      </c>
      <c r="D152" t="s">
        <v>23</v>
      </c>
      <c r="E152" t="s">
        <v>24</v>
      </c>
      <c r="F152" t="s">
        <v>25</v>
      </c>
      <c r="G152">
        <v>3000000</v>
      </c>
      <c r="H152">
        <v>850000</v>
      </c>
      <c r="I152" t="s">
        <v>26</v>
      </c>
      <c r="J152" s="1">
        <v>45910</v>
      </c>
      <c r="K152">
        <v>8000000</v>
      </c>
      <c r="L152" t="s">
        <v>52</v>
      </c>
    </row>
    <row r="153" spans="1:12" x14ac:dyDescent="0.3">
      <c r="A153" t="s">
        <v>194</v>
      </c>
      <c r="B153" s="1">
        <v>45404</v>
      </c>
      <c r="C153" t="s">
        <v>31</v>
      </c>
      <c r="D153" t="s">
        <v>14</v>
      </c>
      <c r="E153" t="s">
        <v>15</v>
      </c>
      <c r="F153" t="s">
        <v>33</v>
      </c>
      <c r="G153">
        <v>6900000</v>
      </c>
      <c r="H153">
        <v>0</v>
      </c>
      <c r="I153" t="s">
        <v>17</v>
      </c>
      <c r="J153" s="1">
        <v>46245</v>
      </c>
      <c r="K153">
        <v>7500000</v>
      </c>
      <c r="L153" t="s">
        <v>42</v>
      </c>
    </row>
    <row r="154" spans="1:12" x14ac:dyDescent="0.3">
      <c r="A154" t="s">
        <v>195</v>
      </c>
      <c r="B154" s="1">
        <v>45462</v>
      </c>
      <c r="C154" t="s">
        <v>31</v>
      </c>
      <c r="D154" t="s">
        <v>23</v>
      </c>
      <c r="E154" t="s">
        <v>175</v>
      </c>
      <c r="F154" t="s">
        <v>16</v>
      </c>
      <c r="G154">
        <v>5550000</v>
      </c>
      <c r="H154">
        <v>1450000</v>
      </c>
      <c r="I154" t="s">
        <v>26</v>
      </c>
      <c r="J154" s="1">
        <v>46079</v>
      </c>
      <c r="K154">
        <v>7500000</v>
      </c>
    </row>
    <row r="155" spans="1:12" x14ac:dyDescent="0.3">
      <c r="A155" t="s">
        <v>196</v>
      </c>
      <c r="B155" s="1">
        <v>45465</v>
      </c>
      <c r="C155" t="s">
        <v>13</v>
      </c>
      <c r="D155" t="s">
        <v>14</v>
      </c>
      <c r="E155" t="s">
        <v>15</v>
      </c>
      <c r="F155" t="s">
        <v>16</v>
      </c>
      <c r="G155">
        <v>4900000</v>
      </c>
      <c r="H155">
        <v>4900000</v>
      </c>
      <c r="I155" t="s">
        <v>20</v>
      </c>
      <c r="J155" s="1">
        <v>46326</v>
      </c>
      <c r="K155">
        <v>8500000</v>
      </c>
      <c r="L155" t="s">
        <v>18</v>
      </c>
    </row>
    <row r="156" spans="1:12" x14ac:dyDescent="0.3">
      <c r="A156" t="s">
        <v>197</v>
      </c>
      <c r="B156" s="1">
        <v>45419</v>
      </c>
      <c r="C156" t="s">
        <v>31</v>
      </c>
      <c r="D156" t="s">
        <v>44</v>
      </c>
      <c r="E156" t="s">
        <v>45</v>
      </c>
      <c r="F156" t="s">
        <v>33</v>
      </c>
      <c r="G156">
        <v>7800000</v>
      </c>
      <c r="H156">
        <v>7800000</v>
      </c>
      <c r="I156" t="s">
        <v>20</v>
      </c>
      <c r="J156" s="1">
        <v>45762</v>
      </c>
      <c r="K156">
        <v>7500000</v>
      </c>
    </row>
    <row r="157" spans="1:12" x14ac:dyDescent="0.3">
      <c r="A157" t="s">
        <v>198</v>
      </c>
      <c r="B157" s="1">
        <v>45390</v>
      </c>
      <c r="C157" t="s">
        <v>13</v>
      </c>
      <c r="D157" t="s">
        <v>23</v>
      </c>
      <c r="E157" t="s">
        <v>24</v>
      </c>
      <c r="F157" t="s">
        <v>33</v>
      </c>
      <c r="G157">
        <v>7250000</v>
      </c>
      <c r="H157">
        <v>1950000</v>
      </c>
      <c r="I157" t="s">
        <v>26</v>
      </c>
      <c r="J157" s="1">
        <v>45985</v>
      </c>
      <c r="K157">
        <v>8500000</v>
      </c>
    </row>
    <row r="158" spans="1:12" x14ac:dyDescent="0.3">
      <c r="A158" t="s">
        <v>199</v>
      </c>
      <c r="B158" s="1">
        <v>45507</v>
      </c>
      <c r="C158" t="s">
        <v>35</v>
      </c>
      <c r="D158" t="s">
        <v>23</v>
      </c>
      <c r="E158" t="s">
        <v>24</v>
      </c>
      <c r="F158" t="s">
        <v>25</v>
      </c>
      <c r="G158">
        <v>3300000</v>
      </c>
      <c r="H158">
        <v>400000</v>
      </c>
      <c r="I158" t="s">
        <v>26</v>
      </c>
      <c r="J158" s="1">
        <v>46045</v>
      </c>
      <c r="K158">
        <v>9000000</v>
      </c>
      <c r="L158" t="s">
        <v>29</v>
      </c>
    </row>
    <row r="159" spans="1:12" x14ac:dyDescent="0.3">
      <c r="A159" t="s">
        <v>200</v>
      </c>
      <c r="B159" s="1">
        <v>45486</v>
      </c>
      <c r="C159" t="s">
        <v>31</v>
      </c>
      <c r="D159" t="s">
        <v>23</v>
      </c>
      <c r="E159" t="s">
        <v>24</v>
      </c>
      <c r="F159" t="s">
        <v>16</v>
      </c>
      <c r="G159">
        <v>4200000</v>
      </c>
      <c r="H159">
        <v>4200000</v>
      </c>
      <c r="I159" t="s">
        <v>20</v>
      </c>
      <c r="J159" s="1">
        <v>45671</v>
      </c>
      <c r="K159">
        <v>7500000</v>
      </c>
      <c r="L159" t="s">
        <v>18</v>
      </c>
    </row>
    <row r="160" spans="1:12" x14ac:dyDescent="0.3">
      <c r="A160" t="s">
        <v>201</v>
      </c>
      <c r="B160" s="1">
        <v>45336</v>
      </c>
      <c r="C160" t="s">
        <v>28</v>
      </c>
      <c r="D160" t="s">
        <v>14</v>
      </c>
      <c r="E160" t="s">
        <v>15</v>
      </c>
      <c r="F160" t="s">
        <v>25</v>
      </c>
      <c r="G160">
        <v>2750000</v>
      </c>
      <c r="H160">
        <v>2750000</v>
      </c>
      <c r="I160" t="s">
        <v>20</v>
      </c>
      <c r="J160" s="1">
        <v>46033</v>
      </c>
      <c r="K160">
        <v>7000000</v>
      </c>
      <c r="L160" t="s">
        <v>42</v>
      </c>
    </row>
    <row r="161" spans="1:12" x14ac:dyDescent="0.3">
      <c r="A161" t="s">
        <v>202</v>
      </c>
      <c r="B161" s="1">
        <v>45396</v>
      </c>
      <c r="C161" t="s">
        <v>31</v>
      </c>
      <c r="D161" t="s">
        <v>23</v>
      </c>
      <c r="E161" t="s">
        <v>24</v>
      </c>
      <c r="F161" t="s">
        <v>33</v>
      </c>
      <c r="G161">
        <v>6800000</v>
      </c>
      <c r="H161">
        <v>6800000</v>
      </c>
      <c r="I161" t="s">
        <v>20</v>
      </c>
      <c r="J161" s="1">
        <v>46291</v>
      </c>
      <c r="K161">
        <v>7500000</v>
      </c>
    </row>
    <row r="162" spans="1:12" x14ac:dyDescent="0.3">
      <c r="A162" t="s">
        <v>203</v>
      </c>
      <c r="B162" s="1">
        <v>45481</v>
      </c>
      <c r="C162" t="s">
        <v>35</v>
      </c>
      <c r="D162" t="s">
        <v>14</v>
      </c>
      <c r="E162" t="s">
        <v>15</v>
      </c>
      <c r="F162" t="s">
        <v>33</v>
      </c>
      <c r="G162">
        <v>7100000</v>
      </c>
      <c r="H162">
        <v>1500000</v>
      </c>
      <c r="I162" t="s">
        <v>26</v>
      </c>
      <c r="J162" s="1">
        <v>45982</v>
      </c>
      <c r="K162">
        <v>9000000</v>
      </c>
      <c r="L162" t="s">
        <v>18</v>
      </c>
    </row>
    <row r="163" spans="1:12" x14ac:dyDescent="0.3">
      <c r="A163" t="s">
        <v>204</v>
      </c>
      <c r="B163" s="1">
        <v>45299</v>
      </c>
      <c r="C163" t="s">
        <v>35</v>
      </c>
      <c r="D163" t="s">
        <v>14</v>
      </c>
      <c r="E163" t="s">
        <v>15</v>
      </c>
      <c r="F163" t="s">
        <v>51</v>
      </c>
      <c r="G163">
        <v>12850000</v>
      </c>
      <c r="H163">
        <v>2400000</v>
      </c>
      <c r="I163" t="s">
        <v>26</v>
      </c>
      <c r="J163" s="1">
        <v>45992</v>
      </c>
      <c r="K163">
        <v>9000000</v>
      </c>
    </row>
    <row r="164" spans="1:12" x14ac:dyDescent="0.3">
      <c r="A164" t="s">
        <v>205</v>
      </c>
      <c r="B164" s="1">
        <v>45578</v>
      </c>
      <c r="C164" t="s">
        <v>35</v>
      </c>
      <c r="D164" t="s">
        <v>14</v>
      </c>
      <c r="E164" t="s">
        <v>15</v>
      </c>
      <c r="F164" t="s">
        <v>16</v>
      </c>
      <c r="G164">
        <v>4050000</v>
      </c>
      <c r="H164">
        <v>1500000</v>
      </c>
      <c r="I164" t="s">
        <v>26</v>
      </c>
      <c r="J164" s="1">
        <v>46078</v>
      </c>
      <c r="K164">
        <v>9000000</v>
      </c>
    </row>
    <row r="165" spans="1:12" x14ac:dyDescent="0.3">
      <c r="A165" t="s">
        <v>206</v>
      </c>
      <c r="B165" s="1">
        <v>45577</v>
      </c>
      <c r="C165" t="s">
        <v>35</v>
      </c>
      <c r="D165" t="s">
        <v>23</v>
      </c>
      <c r="E165" t="s">
        <v>24</v>
      </c>
      <c r="F165" t="s">
        <v>51</v>
      </c>
      <c r="G165">
        <v>11900000</v>
      </c>
      <c r="H165">
        <v>0</v>
      </c>
      <c r="I165" t="s">
        <v>17</v>
      </c>
      <c r="J165" s="1">
        <v>45969</v>
      </c>
      <c r="K165">
        <v>9000000</v>
      </c>
    </row>
    <row r="166" spans="1:12" x14ac:dyDescent="0.3">
      <c r="A166" t="s">
        <v>207</v>
      </c>
      <c r="B166" s="1">
        <v>45629</v>
      </c>
      <c r="C166" t="s">
        <v>13</v>
      </c>
      <c r="D166" t="s">
        <v>14</v>
      </c>
      <c r="E166" t="s">
        <v>15</v>
      </c>
      <c r="F166" t="s">
        <v>33</v>
      </c>
      <c r="G166">
        <v>8600000</v>
      </c>
      <c r="H166">
        <v>8600000</v>
      </c>
      <c r="I166" t="s">
        <v>20</v>
      </c>
      <c r="J166" s="1">
        <v>46044</v>
      </c>
      <c r="K166">
        <v>8500000</v>
      </c>
      <c r="L166" t="s">
        <v>40</v>
      </c>
    </row>
    <row r="167" spans="1:12" x14ac:dyDescent="0.3">
      <c r="A167" t="s">
        <v>208</v>
      </c>
      <c r="B167" s="1">
        <v>45645</v>
      </c>
      <c r="C167" t="s">
        <v>31</v>
      </c>
      <c r="D167" t="s">
        <v>23</v>
      </c>
      <c r="E167" t="s">
        <v>24</v>
      </c>
      <c r="F167" t="s">
        <v>33</v>
      </c>
      <c r="G167">
        <v>8050000</v>
      </c>
      <c r="H167">
        <v>3000000</v>
      </c>
      <c r="I167" t="s">
        <v>26</v>
      </c>
      <c r="J167" s="1">
        <v>46287</v>
      </c>
      <c r="K167">
        <v>7500000</v>
      </c>
      <c r="L167" t="s">
        <v>38</v>
      </c>
    </row>
    <row r="168" spans="1:12" x14ac:dyDescent="0.3">
      <c r="A168" t="s">
        <v>209</v>
      </c>
      <c r="B168" s="1">
        <v>45423</v>
      </c>
      <c r="C168" t="s">
        <v>22</v>
      </c>
      <c r="D168" t="s">
        <v>14</v>
      </c>
      <c r="E168" t="s">
        <v>15</v>
      </c>
      <c r="F168" t="s">
        <v>16</v>
      </c>
      <c r="G168">
        <v>4900000</v>
      </c>
      <c r="H168">
        <v>0</v>
      </c>
      <c r="I168" t="s">
        <v>17</v>
      </c>
      <c r="J168" s="1">
        <v>46032</v>
      </c>
      <c r="K168">
        <v>8000000</v>
      </c>
      <c r="L168" t="s">
        <v>52</v>
      </c>
    </row>
    <row r="169" spans="1:12" x14ac:dyDescent="0.3">
      <c r="A169" t="s">
        <v>210</v>
      </c>
      <c r="B169" s="1">
        <v>45458</v>
      </c>
      <c r="C169" t="s">
        <v>31</v>
      </c>
      <c r="D169" t="s">
        <v>23</v>
      </c>
      <c r="E169" t="s">
        <v>24</v>
      </c>
      <c r="F169" t="s">
        <v>51</v>
      </c>
      <c r="G169">
        <v>11650000</v>
      </c>
      <c r="H169">
        <v>11650000</v>
      </c>
      <c r="I169" t="s">
        <v>20</v>
      </c>
      <c r="J169" s="1">
        <v>45924</v>
      </c>
      <c r="K169">
        <v>7500000</v>
      </c>
      <c r="L169" t="s">
        <v>18</v>
      </c>
    </row>
    <row r="170" spans="1:12" x14ac:dyDescent="0.3">
      <c r="A170" t="s">
        <v>211</v>
      </c>
      <c r="B170" s="1">
        <v>45417</v>
      </c>
      <c r="C170" t="s">
        <v>35</v>
      </c>
      <c r="D170" t="s">
        <v>23</v>
      </c>
      <c r="E170" t="s">
        <v>24</v>
      </c>
      <c r="F170" t="s">
        <v>51</v>
      </c>
      <c r="G170">
        <v>12050000</v>
      </c>
      <c r="H170">
        <v>4750000</v>
      </c>
      <c r="I170" t="s">
        <v>26</v>
      </c>
      <c r="J170" s="1">
        <v>46266</v>
      </c>
      <c r="K170">
        <v>9000000</v>
      </c>
    </row>
    <row r="171" spans="1:12" x14ac:dyDescent="0.3">
      <c r="A171" t="s">
        <v>212</v>
      </c>
      <c r="B171" s="1">
        <v>45615</v>
      </c>
      <c r="C171" t="s">
        <v>35</v>
      </c>
      <c r="D171" t="s">
        <v>44</v>
      </c>
      <c r="E171" t="s">
        <v>45</v>
      </c>
      <c r="F171" t="s">
        <v>25</v>
      </c>
      <c r="G171">
        <v>2950000</v>
      </c>
      <c r="H171">
        <v>2950000</v>
      </c>
      <c r="I171" t="s">
        <v>20</v>
      </c>
      <c r="J171" s="1">
        <v>46443</v>
      </c>
      <c r="K171">
        <v>9000000</v>
      </c>
      <c r="L171" t="s">
        <v>38</v>
      </c>
    </row>
    <row r="172" spans="1:12" x14ac:dyDescent="0.3">
      <c r="A172" t="s">
        <v>213</v>
      </c>
      <c r="B172" s="1">
        <v>45463</v>
      </c>
      <c r="C172" t="s">
        <v>13</v>
      </c>
      <c r="D172" t="s">
        <v>44</v>
      </c>
      <c r="E172" t="s">
        <v>45</v>
      </c>
      <c r="F172" t="s">
        <v>33</v>
      </c>
      <c r="G172">
        <v>7050000</v>
      </c>
      <c r="H172">
        <v>7050000</v>
      </c>
      <c r="I172" t="s">
        <v>20</v>
      </c>
      <c r="J172" s="1">
        <v>45971</v>
      </c>
      <c r="K172">
        <v>8500000</v>
      </c>
      <c r="L172" t="s">
        <v>29</v>
      </c>
    </row>
    <row r="173" spans="1:12" x14ac:dyDescent="0.3">
      <c r="A173" t="s">
        <v>214</v>
      </c>
      <c r="B173" s="1">
        <v>45477</v>
      </c>
      <c r="C173" t="s">
        <v>28</v>
      </c>
      <c r="D173" t="s">
        <v>44</v>
      </c>
      <c r="E173" t="s">
        <v>45</v>
      </c>
      <c r="F173" t="s">
        <v>16</v>
      </c>
      <c r="G173">
        <v>5600000</v>
      </c>
      <c r="H173">
        <v>5600000</v>
      </c>
      <c r="I173" t="s">
        <v>20</v>
      </c>
      <c r="J173" s="1">
        <v>45865</v>
      </c>
      <c r="K173">
        <v>7000000</v>
      </c>
      <c r="L173" t="s">
        <v>18</v>
      </c>
    </row>
    <row r="174" spans="1:12" x14ac:dyDescent="0.3">
      <c r="A174" t="s">
        <v>215</v>
      </c>
      <c r="B174" s="1">
        <v>45398</v>
      </c>
      <c r="C174" t="s">
        <v>28</v>
      </c>
      <c r="D174" t="s">
        <v>23</v>
      </c>
      <c r="E174" t="s">
        <v>24</v>
      </c>
      <c r="F174" t="s">
        <v>33</v>
      </c>
      <c r="G174">
        <v>8100000</v>
      </c>
      <c r="H174">
        <v>8100000</v>
      </c>
      <c r="I174" t="s">
        <v>20</v>
      </c>
      <c r="J174" s="1">
        <v>45755</v>
      </c>
      <c r="K174">
        <v>7000000</v>
      </c>
    </row>
    <row r="175" spans="1:12" x14ac:dyDescent="0.3">
      <c r="A175" t="s">
        <v>216</v>
      </c>
      <c r="B175" s="1">
        <v>45372</v>
      </c>
      <c r="C175" t="s">
        <v>22</v>
      </c>
      <c r="D175" t="s">
        <v>14</v>
      </c>
      <c r="E175" t="s">
        <v>15</v>
      </c>
      <c r="F175" t="s">
        <v>16</v>
      </c>
      <c r="G175">
        <v>4850000</v>
      </c>
      <c r="H175">
        <v>0</v>
      </c>
      <c r="I175" t="s">
        <v>17</v>
      </c>
      <c r="J175" s="1">
        <v>46119</v>
      </c>
      <c r="K175">
        <v>8000000</v>
      </c>
    </row>
    <row r="176" spans="1:12" x14ac:dyDescent="0.3">
      <c r="A176" t="s">
        <v>217</v>
      </c>
      <c r="B176" s="1">
        <v>45610</v>
      </c>
      <c r="C176" t="s">
        <v>28</v>
      </c>
      <c r="D176" t="s">
        <v>14</v>
      </c>
      <c r="E176" t="s">
        <v>15</v>
      </c>
      <c r="F176" t="s">
        <v>33</v>
      </c>
      <c r="G176">
        <v>7400000</v>
      </c>
      <c r="H176">
        <v>1350000</v>
      </c>
      <c r="I176" t="s">
        <v>26</v>
      </c>
      <c r="J176" s="1">
        <v>46147</v>
      </c>
      <c r="K176">
        <v>7000000</v>
      </c>
      <c r="L176" t="s">
        <v>38</v>
      </c>
    </row>
    <row r="177" spans="1:12" x14ac:dyDescent="0.3">
      <c r="A177" t="s">
        <v>218</v>
      </c>
      <c r="B177" s="1">
        <v>45371</v>
      </c>
      <c r="C177" t="s">
        <v>35</v>
      </c>
      <c r="D177" t="s">
        <v>14</v>
      </c>
      <c r="E177" t="s">
        <v>15</v>
      </c>
      <c r="F177" t="s">
        <v>33</v>
      </c>
      <c r="G177">
        <v>7950000</v>
      </c>
      <c r="H177">
        <v>7950000</v>
      </c>
      <c r="I177" t="s">
        <v>20</v>
      </c>
      <c r="J177" s="1">
        <v>46254</v>
      </c>
      <c r="K177">
        <v>9000000</v>
      </c>
      <c r="L177" t="s">
        <v>18</v>
      </c>
    </row>
    <row r="178" spans="1:12" x14ac:dyDescent="0.3">
      <c r="A178" t="s">
        <v>219</v>
      </c>
      <c r="B178" s="1">
        <v>45375</v>
      </c>
      <c r="C178" t="s">
        <v>99</v>
      </c>
      <c r="D178" t="s">
        <v>14</v>
      </c>
      <c r="E178" t="s">
        <v>15</v>
      </c>
      <c r="F178" t="s">
        <v>16</v>
      </c>
      <c r="G178">
        <v>4050000</v>
      </c>
      <c r="H178">
        <v>4050000</v>
      </c>
      <c r="I178" t="s">
        <v>20</v>
      </c>
      <c r="J178" s="1">
        <v>45822</v>
      </c>
      <c r="K178">
        <v>8500000</v>
      </c>
      <c r="L178" t="s">
        <v>38</v>
      </c>
    </row>
    <row r="179" spans="1:12" x14ac:dyDescent="0.3">
      <c r="A179" t="s">
        <v>220</v>
      </c>
      <c r="B179" s="1">
        <v>45593</v>
      </c>
      <c r="C179" t="s">
        <v>31</v>
      </c>
      <c r="D179" t="s">
        <v>23</v>
      </c>
      <c r="E179" t="s">
        <v>24</v>
      </c>
      <c r="F179" t="s">
        <v>51</v>
      </c>
      <c r="G179">
        <v>13900000</v>
      </c>
      <c r="H179">
        <v>5400000</v>
      </c>
      <c r="I179" t="s">
        <v>26</v>
      </c>
      <c r="J179" s="1">
        <v>46476</v>
      </c>
      <c r="K179">
        <v>7500000</v>
      </c>
    </row>
    <row r="180" spans="1:12" x14ac:dyDescent="0.3">
      <c r="A180" t="s">
        <v>221</v>
      </c>
      <c r="B180" s="1">
        <v>45526</v>
      </c>
      <c r="C180" t="s">
        <v>31</v>
      </c>
      <c r="D180" t="s">
        <v>23</v>
      </c>
      <c r="E180" t="s">
        <v>24</v>
      </c>
      <c r="F180" t="s">
        <v>25</v>
      </c>
      <c r="G180">
        <v>2550000</v>
      </c>
      <c r="H180">
        <v>2550000</v>
      </c>
      <c r="I180" t="s">
        <v>20</v>
      </c>
      <c r="J180" s="1">
        <v>46212</v>
      </c>
      <c r="K180">
        <v>7500000</v>
      </c>
    </row>
    <row r="181" spans="1:12" x14ac:dyDescent="0.3">
      <c r="A181" t="s">
        <v>222</v>
      </c>
      <c r="B181" s="1">
        <v>45654</v>
      </c>
      <c r="C181" t="s">
        <v>35</v>
      </c>
      <c r="D181" t="s">
        <v>23</v>
      </c>
      <c r="E181" t="s">
        <v>24</v>
      </c>
      <c r="F181" t="s">
        <v>16</v>
      </c>
      <c r="G181">
        <v>4500000</v>
      </c>
      <c r="H181">
        <v>0</v>
      </c>
      <c r="I181" t="s">
        <v>17</v>
      </c>
      <c r="J181" s="1">
        <v>45903</v>
      </c>
      <c r="K181">
        <v>9000000</v>
      </c>
      <c r="L181" t="s">
        <v>40</v>
      </c>
    </row>
    <row r="182" spans="1:12" x14ac:dyDescent="0.3">
      <c r="A182" t="s">
        <v>223</v>
      </c>
      <c r="B182" s="1">
        <v>45516</v>
      </c>
      <c r="C182" t="s">
        <v>22</v>
      </c>
      <c r="D182" t="s">
        <v>23</v>
      </c>
      <c r="E182" t="s">
        <v>24</v>
      </c>
      <c r="F182" t="s">
        <v>33</v>
      </c>
      <c r="G182">
        <v>8200000</v>
      </c>
      <c r="H182">
        <v>8200000</v>
      </c>
      <c r="I182" t="s">
        <v>20</v>
      </c>
      <c r="J182" s="1">
        <v>46208</v>
      </c>
      <c r="K182">
        <v>8000000</v>
      </c>
    </row>
    <row r="183" spans="1:12" x14ac:dyDescent="0.3">
      <c r="A183" t="s">
        <v>224</v>
      </c>
      <c r="B183" s="1">
        <v>45601</v>
      </c>
      <c r="C183" t="s">
        <v>28</v>
      </c>
      <c r="D183" t="s">
        <v>23</v>
      </c>
      <c r="E183" t="s">
        <v>24</v>
      </c>
      <c r="F183" t="s">
        <v>51</v>
      </c>
      <c r="G183">
        <v>12250000</v>
      </c>
      <c r="H183">
        <v>12250000</v>
      </c>
      <c r="I183" t="s">
        <v>20</v>
      </c>
      <c r="J183" s="1">
        <v>46430</v>
      </c>
      <c r="K183">
        <v>7000000</v>
      </c>
      <c r="L183" t="s">
        <v>18</v>
      </c>
    </row>
    <row r="184" spans="1:12" x14ac:dyDescent="0.3">
      <c r="A184" t="s">
        <v>225</v>
      </c>
      <c r="B184" s="1">
        <v>45586</v>
      </c>
      <c r="C184" t="s">
        <v>31</v>
      </c>
      <c r="D184" t="s">
        <v>23</v>
      </c>
      <c r="E184" t="s">
        <v>24</v>
      </c>
      <c r="F184" t="s">
        <v>16</v>
      </c>
      <c r="G184">
        <v>4000000</v>
      </c>
      <c r="H184">
        <v>800000</v>
      </c>
      <c r="I184" t="s">
        <v>26</v>
      </c>
      <c r="J184" s="1">
        <v>46350</v>
      </c>
      <c r="K184">
        <v>7500000</v>
      </c>
    </row>
    <row r="185" spans="1:12" x14ac:dyDescent="0.3">
      <c r="A185" t="s">
        <v>226</v>
      </c>
      <c r="B185" s="1">
        <v>45538</v>
      </c>
      <c r="C185" t="s">
        <v>35</v>
      </c>
      <c r="D185" t="s">
        <v>23</v>
      </c>
      <c r="E185" t="s">
        <v>24</v>
      </c>
      <c r="F185" t="s">
        <v>51</v>
      </c>
      <c r="G185">
        <v>10450000</v>
      </c>
      <c r="H185">
        <v>4050000</v>
      </c>
      <c r="I185" t="s">
        <v>26</v>
      </c>
      <c r="J185" s="1">
        <v>45862</v>
      </c>
      <c r="K185">
        <v>9000000</v>
      </c>
      <c r="L185" t="s">
        <v>29</v>
      </c>
    </row>
    <row r="186" spans="1:12" x14ac:dyDescent="0.3">
      <c r="A186" t="s">
        <v>227</v>
      </c>
      <c r="B186" s="1">
        <v>45597</v>
      </c>
      <c r="C186" t="s">
        <v>13</v>
      </c>
      <c r="D186" t="s">
        <v>23</v>
      </c>
      <c r="E186" t="s">
        <v>24</v>
      </c>
      <c r="F186" t="s">
        <v>16</v>
      </c>
      <c r="G186">
        <v>5250000</v>
      </c>
      <c r="H186">
        <v>700000</v>
      </c>
      <c r="I186" t="s">
        <v>26</v>
      </c>
      <c r="J186" s="1">
        <v>46367</v>
      </c>
      <c r="K186">
        <v>8500000</v>
      </c>
      <c r="L186" t="s">
        <v>29</v>
      </c>
    </row>
    <row r="187" spans="1:12" x14ac:dyDescent="0.3">
      <c r="A187" t="s">
        <v>228</v>
      </c>
      <c r="B187" s="1">
        <v>45386</v>
      </c>
      <c r="C187" t="s">
        <v>28</v>
      </c>
      <c r="D187" t="s">
        <v>14</v>
      </c>
      <c r="E187" t="s">
        <v>15</v>
      </c>
      <c r="F187" t="s">
        <v>33</v>
      </c>
      <c r="G187">
        <v>6650000</v>
      </c>
      <c r="H187">
        <v>6650000</v>
      </c>
      <c r="I187" t="s">
        <v>20</v>
      </c>
      <c r="J187" s="1">
        <v>46250</v>
      </c>
      <c r="K187">
        <v>7000000</v>
      </c>
      <c r="L187" t="s">
        <v>42</v>
      </c>
    </row>
    <row r="188" spans="1:12" x14ac:dyDescent="0.3">
      <c r="A188" t="s">
        <v>229</v>
      </c>
      <c r="B188" s="1">
        <v>45449</v>
      </c>
      <c r="C188" t="s">
        <v>31</v>
      </c>
      <c r="D188" t="s">
        <v>14</v>
      </c>
      <c r="E188" t="s">
        <v>15</v>
      </c>
      <c r="F188" t="s">
        <v>25</v>
      </c>
      <c r="G188">
        <v>3250000</v>
      </c>
      <c r="H188">
        <v>1100000</v>
      </c>
      <c r="I188" t="s">
        <v>26</v>
      </c>
      <c r="J188" s="1">
        <v>46174</v>
      </c>
      <c r="K188">
        <v>7500000</v>
      </c>
      <c r="L188" t="s">
        <v>52</v>
      </c>
    </row>
    <row r="189" spans="1:12" x14ac:dyDescent="0.3">
      <c r="A189" t="s">
        <v>230</v>
      </c>
      <c r="B189" s="1">
        <v>45468</v>
      </c>
      <c r="C189" t="s">
        <v>13</v>
      </c>
      <c r="D189" t="s">
        <v>23</v>
      </c>
      <c r="E189" t="s">
        <v>24</v>
      </c>
      <c r="F189" t="s">
        <v>33</v>
      </c>
      <c r="G189">
        <v>7800000</v>
      </c>
      <c r="H189">
        <v>7800000</v>
      </c>
      <c r="I189" t="s">
        <v>20</v>
      </c>
      <c r="J189" s="1">
        <v>45873</v>
      </c>
      <c r="K189">
        <v>8500000</v>
      </c>
    </row>
    <row r="190" spans="1:12" x14ac:dyDescent="0.3">
      <c r="A190" t="s">
        <v>231</v>
      </c>
      <c r="B190" s="1">
        <v>45483</v>
      </c>
      <c r="C190" t="s">
        <v>31</v>
      </c>
      <c r="D190" t="s">
        <v>23</v>
      </c>
      <c r="E190" t="s">
        <v>24</v>
      </c>
      <c r="F190" t="s">
        <v>25</v>
      </c>
      <c r="G190">
        <v>2600000</v>
      </c>
      <c r="H190">
        <v>2600000</v>
      </c>
      <c r="I190" t="s">
        <v>20</v>
      </c>
      <c r="J190" s="1">
        <v>45758</v>
      </c>
      <c r="K190">
        <v>7500000</v>
      </c>
    </row>
    <row r="191" spans="1:12" x14ac:dyDescent="0.3">
      <c r="A191" t="s">
        <v>232</v>
      </c>
      <c r="B191" s="1">
        <v>45546</v>
      </c>
      <c r="C191" t="s">
        <v>31</v>
      </c>
      <c r="D191" t="s">
        <v>14</v>
      </c>
      <c r="E191" t="s">
        <v>15</v>
      </c>
      <c r="F191" t="s">
        <v>16</v>
      </c>
      <c r="G191">
        <v>4750000</v>
      </c>
      <c r="H191">
        <v>4750000</v>
      </c>
      <c r="I191" t="s">
        <v>20</v>
      </c>
      <c r="J191" s="1">
        <v>45897</v>
      </c>
      <c r="K191">
        <v>7500000</v>
      </c>
      <c r="L191" t="s">
        <v>38</v>
      </c>
    </row>
    <row r="192" spans="1:12" x14ac:dyDescent="0.3">
      <c r="A192" t="s">
        <v>233</v>
      </c>
      <c r="B192" s="1">
        <v>45585</v>
      </c>
      <c r="C192" t="s">
        <v>13</v>
      </c>
      <c r="D192" t="s">
        <v>23</v>
      </c>
      <c r="E192" t="s">
        <v>24</v>
      </c>
      <c r="F192" t="s">
        <v>16</v>
      </c>
      <c r="G192">
        <v>4250000</v>
      </c>
      <c r="H192">
        <v>450000</v>
      </c>
      <c r="I192" t="s">
        <v>26</v>
      </c>
      <c r="J192" s="1">
        <v>46097</v>
      </c>
      <c r="K192">
        <v>8500000</v>
      </c>
      <c r="L192" t="s">
        <v>52</v>
      </c>
    </row>
    <row r="193" spans="1:12" x14ac:dyDescent="0.3">
      <c r="A193" t="s">
        <v>234</v>
      </c>
      <c r="B193" s="1">
        <v>45626</v>
      </c>
      <c r="C193" t="s">
        <v>35</v>
      </c>
      <c r="D193" t="s">
        <v>14</v>
      </c>
      <c r="E193" t="s">
        <v>15</v>
      </c>
      <c r="F193" t="s">
        <v>33</v>
      </c>
      <c r="G193">
        <v>7000000</v>
      </c>
      <c r="H193">
        <v>1350000</v>
      </c>
      <c r="I193" t="s">
        <v>26</v>
      </c>
      <c r="J193" s="1">
        <v>46221</v>
      </c>
      <c r="K193">
        <v>9000000</v>
      </c>
    </row>
    <row r="194" spans="1:12" x14ac:dyDescent="0.3">
      <c r="A194" t="s">
        <v>235</v>
      </c>
      <c r="B194" s="1">
        <v>45432</v>
      </c>
      <c r="C194" t="s">
        <v>31</v>
      </c>
      <c r="D194" t="s">
        <v>14</v>
      </c>
      <c r="E194" t="s">
        <v>15</v>
      </c>
      <c r="F194" t="s">
        <v>33</v>
      </c>
      <c r="G194">
        <v>7200000</v>
      </c>
      <c r="H194">
        <v>2750000</v>
      </c>
      <c r="I194" t="s">
        <v>26</v>
      </c>
      <c r="J194" s="1">
        <v>45769</v>
      </c>
      <c r="K194">
        <v>7500000</v>
      </c>
      <c r="L194" t="s">
        <v>52</v>
      </c>
    </row>
    <row r="195" spans="1:12" x14ac:dyDescent="0.3">
      <c r="A195" t="s">
        <v>236</v>
      </c>
      <c r="B195" s="1">
        <v>45371</v>
      </c>
      <c r="C195" t="s">
        <v>31</v>
      </c>
      <c r="D195" t="s">
        <v>14</v>
      </c>
      <c r="E195" t="s">
        <v>15</v>
      </c>
      <c r="F195" t="s">
        <v>33</v>
      </c>
      <c r="G195">
        <v>8750000</v>
      </c>
      <c r="H195">
        <v>8750000</v>
      </c>
      <c r="I195" t="s">
        <v>20</v>
      </c>
      <c r="J195" s="1">
        <v>45872</v>
      </c>
      <c r="K195">
        <v>7500000</v>
      </c>
      <c r="L195" t="s">
        <v>42</v>
      </c>
    </row>
    <row r="196" spans="1:12" x14ac:dyDescent="0.3">
      <c r="A196" t="s">
        <v>237</v>
      </c>
      <c r="B196" s="1">
        <v>45519</v>
      </c>
      <c r="C196" t="s">
        <v>31</v>
      </c>
      <c r="D196" t="s">
        <v>14</v>
      </c>
      <c r="E196" t="s">
        <v>15</v>
      </c>
      <c r="F196" t="s">
        <v>25</v>
      </c>
      <c r="G196">
        <v>2850000</v>
      </c>
      <c r="H196">
        <v>2850000</v>
      </c>
      <c r="I196" t="s">
        <v>20</v>
      </c>
      <c r="J196" s="1">
        <v>45999</v>
      </c>
      <c r="K196">
        <v>7500000</v>
      </c>
      <c r="L196" t="s">
        <v>40</v>
      </c>
    </row>
    <row r="197" spans="1:12" x14ac:dyDescent="0.3">
      <c r="A197" t="s">
        <v>238</v>
      </c>
      <c r="B197" s="1">
        <v>45315</v>
      </c>
      <c r="C197" t="s">
        <v>28</v>
      </c>
      <c r="D197" t="s">
        <v>14</v>
      </c>
      <c r="E197" t="s">
        <v>15</v>
      </c>
      <c r="F197" t="s">
        <v>51</v>
      </c>
      <c r="G197">
        <v>13000000</v>
      </c>
      <c r="H197">
        <v>3800000</v>
      </c>
      <c r="I197" t="s">
        <v>26</v>
      </c>
      <c r="J197" s="1">
        <v>46004</v>
      </c>
      <c r="K197">
        <v>7000000</v>
      </c>
    </row>
    <row r="198" spans="1:12" x14ac:dyDescent="0.3">
      <c r="A198" t="s">
        <v>239</v>
      </c>
      <c r="B198" s="1">
        <v>45537</v>
      </c>
      <c r="C198" t="s">
        <v>31</v>
      </c>
      <c r="D198" t="s">
        <v>23</v>
      </c>
      <c r="E198" t="s">
        <v>24</v>
      </c>
      <c r="F198" t="s">
        <v>33</v>
      </c>
      <c r="G198">
        <v>7650000</v>
      </c>
      <c r="H198">
        <v>7650000</v>
      </c>
      <c r="I198" t="s">
        <v>20</v>
      </c>
      <c r="J198" s="1">
        <v>45828</v>
      </c>
      <c r="K198">
        <v>7500000</v>
      </c>
      <c r="L198" t="s">
        <v>29</v>
      </c>
    </row>
    <row r="199" spans="1:12" x14ac:dyDescent="0.3">
      <c r="A199" t="s">
        <v>240</v>
      </c>
      <c r="B199" s="1">
        <v>45354</v>
      </c>
      <c r="C199" t="s">
        <v>35</v>
      </c>
      <c r="D199" t="s">
        <v>14</v>
      </c>
      <c r="E199" t="s">
        <v>15</v>
      </c>
      <c r="F199" t="s">
        <v>25</v>
      </c>
      <c r="G199">
        <v>2550000</v>
      </c>
      <c r="H199">
        <v>2550000</v>
      </c>
      <c r="I199" t="s">
        <v>20</v>
      </c>
      <c r="J199" s="1">
        <v>45927</v>
      </c>
      <c r="K199">
        <v>9000000</v>
      </c>
    </row>
    <row r="200" spans="1:12" x14ac:dyDescent="0.3">
      <c r="A200" t="s">
        <v>241</v>
      </c>
      <c r="B200" s="1">
        <v>45328</v>
      </c>
      <c r="C200" t="s">
        <v>31</v>
      </c>
      <c r="D200" t="s">
        <v>44</v>
      </c>
      <c r="E200" t="s">
        <v>45</v>
      </c>
      <c r="F200" t="s">
        <v>33</v>
      </c>
      <c r="G200">
        <v>7350000</v>
      </c>
      <c r="H200">
        <v>1000000</v>
      </c>
      <c r="I200" t="s">
        <v>26</v>
      </c>
      <c r="J200" s="1">
        <v>45738</v>
      </c>
      <c r="K200">
        <v>7500000</v>
      </c>
      <c r="L200" t="s">
        <v>52</v>
      </c>
    </row>
    <row r="201" spans="1:12" x14ac:dyDescent="0.3">
      <c r="A201" t="s">
        <v>242</v>
      </c>
      <c r="B201" s="1">
        <v>45563</v>
      </c>
      <c r="C201" t="s">
        <v>35</v>
      </c>
      <c r="D201" t="s">
        <v>23</v>
      </c>
      <c r="E201" t="s">
        <v>24</v>
      </c>
      <c r="F201" t="s">
        <v>16</v>
      </c>
      <c r="G201">
        <v>5450000</v>
      </c>
      <c r="H201">
        <v>1000000</v>
      </c>
      <c r="I201" t="s">
        <v>26</v>
      </c>
      <c r="J201" s="1">
        <v>46000</v>
      </c>
      <c r="K201">
        <v>9000000</v>
      </c>
      <c r="L201" t="s">
        <v>29</v>
      </c>
    </row>
    <row r="202" spans="1:12" x14ac:dyDescent="0.3">
      <c r="A202" t="s">
        <v>243</v>
      </c>
      <c r="B202" s="1">
        <v>45545</v>
      </c>
      <c r="C202" t="s">
        <v>31</v>
      </c>
      <c r="D202" t="s">
        <v>23</v>
      </c>
      <c r="E202" t="s">
        <v>24</v>
      </c>
      <c r="F202" t="s">
        <v>25</v>
      </c>
      <c r="G202">
        <v>2500000</v>
      </c>
      <c r="H202">
        <v>2500000</v>
      </c>
      <c r="I202" t="s">
        <v>20</v>
      </c>
      <c r="J202" s="1">
        <v>46306</v>
      </c>
      <c r="K202">
        <v>7500000</v>
      </c>
      <c r="L202" t="s">
        <v>38</v>
      </c>
    </row>
    <row r="203" spans="1:12" x14ac:dyDescent="0.3">
      <c r="A203" t="s">
        <v>244</v>
      </c>
      <c r="B203" s="1">
        <v>45539</v>
      </c>
      <c r="C203" t="s">
        <v>13</v>
      </c>
      <c r="D203" t="s">
        <v>23</v>
      </c>
      <c r="E203" t="s">
        <v>24</v>
      </c>
      <c r="F203" t="s">
        <v>16</v>
      </c>
      <c r="G203">
        <v>5800000</v>
      </c>
      <c r="H203">
        <v>5800000</v>
      </c>
      <c r="I203" t="s">
        <v>20</v>
      </c>
      <c r="J203" s="1">
        <v>45807</v>
      </c>
      <c r="K203">
        <v>8500000</v>
      </c>
      <c r="L203" t="s">
        <v>18</v>
      </c>
    </row>
    <row r="204" spans="1:12" x14ac:dyDescent="0.3">
      <c r="A204" t="s">
        <v>245</v>
      </c>
      <c r="B204" s="1">
        <v>45467</v>
      </c>
      <c r="C204" t="s">
        <v>22</v>
      </c>
      <c r="D204" t="s">
        <v>14</v>
      </c>
      <c r="E204" t="s">
        <v>15</v>
      </c>
      <c r="F204" t="s">
        <v>33</v>
      </c>
      <c r="G204">
        <v>7500000</v>
      </c>
      <c r="H204">
        <v>1150000</v>
      </c>
      <c r="I204" t="s">
        <v>26</v>
      </c>
      <c r="J204" s="1">
        <v>45810</v>
      </c>
      <c r="K204">
        <v>8000000</v>
      </c>
      <c r="L204" t="s">
        <v>40</v>
      </c>
    </row>
    <row r="205" spans="1:12" x14ac:dyDescent="0.3">
      <c r="A205" t="s">
        <v>246</v>
      </c>
      <c r="B205" s="1">
        <v>45462</v>
      </c>
      <c r="C205" t="s">
        <v>31</v>
      </c>
      <c r="D205" t="s">
        <v>23</v>
      </c>
      <c r="E205" t="s">
        <v>24</v>
      </c>
      <c r="F205" t="s">
        <v>16</v>
      </c>
      <c r="G205">
        <v>5550000</v>
      </c>
      <c r="H205">
        <v>1450000</v>
      </c>
      <c r="I205" t="s">
        <v>26</v>
      </c>
      <c r="J205" s="1">
        <v>46079</v>
      </c>
      <c r="K205">
        <v>7500000</v>
      </c>
    </row>
    <row r="206" spans="1:12" x14ac:dyDescent="0.3">
      <c r="A206" t="s">
        <v>247</v>
      </c>
      <c r="B206" s="1">
        <v>45445</v>
      </c>
      <c r="C206" t="s">
        <v>22</v>
      </c>
      <c r="D206" t="s">
        <v>44</v>
      </c>
      <c r="E206" t="s">
        <v>45</v>
      </c>
      <c r="F206" t="s">
        <v>51</v>
      </c>
      <c r="G206">
        <v>9750000</v>
      </c>
      <c r="H206">
        <v>9750000</v>
      </c>
      <c r="I206" t="s">
        <v>20</v>
      </c>
      <c r="J206" s="1">
        <v>46040</v>
      </c>
      <c r="K206">
        <v>8000000</v>
      </c>
    </row>
    <row r="207" spans="1:12" x14ac:dyDescent="0.3">
      <c r="A207" t="s">
        <v>248</v>
      </c>
      <c r="B207" s="1">
        <v>45597</v>
      </c>
      <c r="C207" t="s">
        <v>13</v>
      </c>
      <c r="D207" t="s">
        <v>14</v>
      </c>
      <c r="E207" t="s">
        <v>15</v>
      </c>
      <c r="F207" t="s">
        <v>33</v>
      </c>
      <c r="G207">
        <v>6700000</v>
      </c>
      <c r="H207">
        <v>1650000</v>
      </c>
      <c r="I207" t="s">
        <v>26</v>
      </c>
      <c r="J207" s="1">
        <v>46313</v>
      </c>
      <c r="K207">
        <v>8500000</v>
      </c>
    </row>
    <row r="208" spans="1:12" x14ac:dyDescent="0.3">
      <c r="A208" t="s">
        <v>249</v>
      </c>
      <c r="B208" s="1">
        <v>45295</v>
      </c>
      <c r="C208" t="s">
        <v>22</v>
      </c>
      <c r="D208" t="s">
        <v>14</v>
      </c>
      <c r="E208" t="s">
        <v>15</v>
      </c>
      <c r="F208" t="s">
        <v>16</v>
      </c>
      <c r="G208">
        <v>4150000</v>
      </c>
      <c r="H208">
        <v>4150000</v>
      </c>
      <c r="I208" t="s">
        <v>20</v>
      </c>
      <c r="J208" s="1">
        <v>45813</v>
      </c>
      <c r="K208">
        <v>8000000</v>
      </c>
      <c r="L208" t="s">
        <v>38</v>
      </c>
    </row>
    <row r="209" spans="1:12" x14ac:dyDescent="0.3">
      <c r="A209" t="s">
        <v>250</v>
      </c>
      <c r="B209" s="1">
        <v>45425</v>
      </c>
      <c r="C209" t="s">
        <v>13</v>
      </c>
      <c r="D209" t="s">
        <v>23</v>
      </c>
      <c r="E209" t="s">
        <v>24</v>
      </c>
      <c r="F209" t="s">
        <v>16</v>
      </c>
      <c r="G209">
        <v>4650000</v>
      </c>
      <c r="H209">
        <v>1450000</v>
      </c>
      <c r="I209" t="s">
        <v>26</v>
      </c>
      <c r="J209" s="1">
        <v>45616</v>
      </c>
      <c r="K209">
        <v>8500000</v>
      </c>
      <c r="L209" t="s">
        <v>18</v>
      </c>
    </row>
    <row r="210" spans="1:12" x14ac:dyDescent="0.3">
      <c r="A210" t="s">
        <v>251</v>
      </c>
      <c r="B210" s="1">
        <v>45353</v>
      </c>
      <c r="C210" t="s">
        <v>166</v>
      </c>
      <c r="D210" t="s">
        <v>14</v>
      </c>
      <c r="E210" t="s">
        <v>15</v>
      </c>
      <c r="F210" t="s">
        <v>16</v>
      </c>
      <c r="G210">
        <v>4450000</v>
      </c>
      <c r="H210">
        <v>0</v>
      </c>
      <c r="I210" t="s">
        <v>17</v>
      </c>
      <c r="J210" s="1">
        <v>46028</v>
      </c>
      <c r="K210">
        <v>7500000</v>
      </c>
      <c r="L210" t="s">
        <v>18</v>
      </c>
    </row>
    <row r="211" spans="1:12" x14ac:dyDescent="0.3">
      <c r="A211" t="s">
        <v>252</v>
      </c>
      <c r="B211" s="1">
        <v>45465</v>
      </c>
      <c r="C211" t="s">
        <v>28</v>
      </c>
      <c r="D211" t="s">
        <v>23</v>
      </c>
      <c r="E211" t="s">
        <v>24</v>
      </c>
      <c r="F211" t="s">
        <v>25</v>
      </c>
      <c r="G211">
        <v>2850000</v>
      </c>
      <c r="H211">
        <v>2850000</v>
      </c>
      <c r="I211" t="s">
        <v>20</v>
      </c>
      <c r="J211" s="1">
        <v>46216</v>
      </c>
      <c r="K211">
        <v>7000000</v>
      </c>
    </row>
    <row r="212" spans="1:12" x14ac:dyDescent="0.3">
      <c r="A212" t="s">
        <v>253</v>
      </c>
      <c r="B212" s="1">
        <v>45440</v>
      </c>
      <c r="C212" t="s">
        <v>35</v>
      </c>
      <c r="D212" t="s">
        <v>23</v>
      </c>
      <c r="E212" t="s">
        <v>24</v>
      </c>
      <c r="F212" t="s">
        <v>16</v>
      </c>
      <c r="G212">
        <v>4950000</v>
      </c>
      <c r="H212">
        <v>4950000</v>
      </c>
      <c r="I212" t="s">
        <v>20</v>
      </c>
      <c r="J212" s="1">
        <v>46325</v>
      </c>
      <c r="K212">
        <v>9000000</v>
      </c>
      <c r="L212" t="s">
        <v>42</v>
      </c>
    </row>
    <row r="213" spans="1:12" x14ac:dyDescent="0.3">
      <c r="A213" t="s">
        <v>254</v>
      </c>
      <c r="B213" s="1">
        <v>45302</v>
      </c>
      <c r="C213" t="s">
        <v>13</v>
      </c>
      <c r="D213" t="s">
        <v>14</v>
      </c>
      <c r="E213" t="s">
        <v>15</v>
      </c>
      <c r="F213" t="s">
        <v>33</v>
      </c>
      <c r="G213">
        <v>8100000</v>
      </c>
      <c r="H213">
        <v>8100000</v>
      </c>
      <c r="I213" t="s">
        <v>20</v>
      </c>
      <c r="J213" s="1">
        <v>45741</v>
      </c>
      <c r="K213">
        <v>8500000</v>
      </c>
      <c r="L213" t="s">
        <v>42</v>
      </c>
    </row>
    <row r="214" spans="1:12" x14ac:dyDescent="0.3">
      <c r="A214" t="s">
        <v>255</v>
      </c>
      <c r="B214" s="1">
        <v>45463</v>
      </c>
      <c r="C214" t="s">
        <v>22</v>
      </c>
      <c r="D214" t="s">
        <v>23</v>
      </c>
      <c r="E214" t="s">
        <v>24</v>
      </c>
      <c r="F214" t="s">
        <v>51</v>
      </c>
      <c r="G214">
        <v>12100000</v>
      </c>
      <c r="H214">
        <v>12100000</v>
      </c>
      <c r="I214" t="s">
        <v>20</v>
      </c>
      <c r="J214" s="1">
        <v>45853</v>
      </c>
      <c r="K214">
        <v>8000000</v>
      </c>
    </row>
    <row r="215" spans="1:12" x14ac:dyDescent="0.3">
      <c r="A215" t="s">
        <v>256</v>
      </c>
      <c r="B215" s="1">
        <v>45452</v>
      </c>
      <c r="C215" t="s">
        <v>22</v>
      </c>
      <c r="D215" t="s">
        <v>14</v>
      </c>
      <c r="E215" t="s">
        <v>15</v>
      </c>
      <c r="F215" t="s">
        <v>16</v>
      </c>
      <c r="G215">
        <v>4800000</v>
      </c>
      <c r="H215">
        <v>0</v>
      </c>
      <c r="I215" t="s">
        <v>17</v>
      </c>
      <c r="J215" s="1">
        <v>45776</v>
      </c>
      <c r="K215">
        <v>8000000</v>
      </c>
    </row>
    <row r="216" spans="1:12" x14ac:dyDescent="0.3">
      <c r="A216" t="s">
        <v>257</v>
      </c>
      <c r="B216" s="1">
        <v>45530</v>
      </c>
      <c r="C216" t="s">
        <v>28</v>
      </c>
      <c r="D216" t="s">
        <v>23</v>
      </c>
      <c r="E216" t="s">
        <v>24</v>
      </c>
      <c r="F216" t="s">
        <v>16</v>
      </c>
      <c r="G216">
        <v>4750000</v>
      </c>
      <c r="H216">
        <v>1750000</v>
      </c>
      <c r="I216" t="s">
        <v>26</v>
      </c>
      <c r="J216" s="1">
        <v>46187</v>
      </c>
      <c r="K216">
        <v>7000000</v>
      </c>
      <c r="L216" t="s">
        <v>38</v>
      </c>
    </row>
    <row r="217" spans="1:12" x14ac:dyDescent="0.3">
      <c r="A217" t="s">
        <v>258</v>
      </c>
      <c r="B217" s="1">
        <v>45571</v>
      </c>
      <c r="C217" t="s">
        <v>31</v>
      </c>
      <c r="D217" t="s">
        <v>23</v>
      </c>
      <c r="E217" t="s">
        <v>24</v>
      </c>
      <c r="F217" t="s">
        <v>25</v>
      </c>
      <c r="G217">
        <v>2750000</v>
      </c>
      <c r="H217">
        <v>550000</v>
      </c>
      <c r="I217" t="s">
        <v>26</v>
      </c>
      <c r="J217" s="1">
        <v>46461</v>
      </c>
      <c r="K217">
        <v>7500000</v>
      </c>
      <c r="L217" t="s">
        <v>42</v>
      </c>
    </row>
    <row r="218" spans="1:12" x14ac:dyDescent="0.3">
      <c r="A218" t="s">
        <v>259</v>
      </c>
      <c r="B218" s="1">
        <v>45366</v>
      </c>
      <c r="C218" t="s">
        <v>31</v>
      </c>
      <c r="D218" t="s">
        <v>23</v>
      </c>
      <c r="E218" t="s">
        <v>24</v>
      </c>
      <c r="F218" t="s">
        <v>33</v>
      </c>
      <c r="G218">
        <v>7100000</v>
      </c>
      <c r="H218">
        <v>0</v>
      </c>
      <c r="I218" t="s">
        <v>17</v>
      </c>
      <c r="J218" s="1">
        <v>46026</v>
      </c>
      <c r="K218">
        <v>7500000</v>
      </c>
    </row>
    <row r="219" spans="1:12" x14ac:dyDescent="0.3">
      <c r="A219" t="s">
        <v>260</v>
      </c>
      <c r="B219" s="1">
        <v>45415</v>
      </c>
      <c r="C219" t="s">
        <v>31</v>
      </c>
      <c r="D219" t="s">
        <v>14</v>
      </c>
      <c r="E219" t="s">
        <v>15</v>
      </c>
      <c r="F219" t="s">
        <v>16</v>
      </c>
      <c r="G219">
        <v>5250000</v>
      </c>
      <c r="H219">
        <v>0</v>
      </c>
      <c r="I219" t="s">
        <v>17</v>
      </c>
      <c r="J219" s="1">
        <v>46315</v>
      </c>
      <c r="K219">
        <v>7500000</v>
      </c>
      <c r="L219" t="s">
        <v>42</v>
      </c>
    </row>
    <row r="220" spans="1:12" x14ac:dyDescent="0.3">
      <c r="A220" t="s">
        <v>261</v>
      </c>
      <c r="B220" s="1">
        <v>45604</v>
      </c>
      <c r="C220" t="s">
        <v>13</v>
      </c>
      <c r="D220" t="s">
        <v>14</v>
      </c>
      <c r="E220" t="s">
        <v>15</v>
      </c>
      <c r="F220" t="s">
        <v>16</v>
      </c>
      <c r="G220">
        <v>5900000</v>
      </c>
      <c r="H220">
        <v>850000</v>
      </c>
      <c r="I220" t="s">
        <v>26</v>
      </c>
      <c r="J220" s="1">
        <v>46256</v>
      </c>
      <c r="K220">
        <v>8500000</v>
      </c>
      <c r="L220" t="s">
        <v>18</v>
      </c>
    </row>
    <row r="221" spans="1:12" x14ac:dyDescent="0.3">
      <c r="A221" t="s">
        <v>262</v>
      </c>
      <c r="B221" s="1">
        <v>45416</v>
      </c>
      <c r="C221" t="s">
        <v>13</v>
      </c>
      <c r="D221" t="s">
        <v>14</v>
      </c>
      <c r="E221" t="s">
        <v>15</v>
      </c>
      <c r="F221" t="s">
        <v>25</v>
      </c>
      <c r="G221">
        <v>2600000</v>
      </c>
      <c r="H221">
        <v>0</v>
      </c>
      <c r="I221" t="s">
        <v>17</v>
      </c>
      <c r="J221" s="1">
        <v>46037</v>
      </c>
      <c r="K221">
        <v>8500000</v>
      </c>
      <c r="L221" t="s">
        <v>40</v>
      </c>
    </row>
    <row r="222" spans="1:12" x14ac:dyDescent="0.3">
      <c r="A222" t="s">
        <v>263</v>
      </c>
      <c r="B222" s="1">
        <v>45443</v>
      </c>
      <c r="C222" t="s">
        <v>28</v>
      </c>
      <c r="D222" t="s">
        <v>14</v>
      </c>
      <c r="E222" t="s">
        <v>15</v>
      </c>
      <c r="F222" t="s">
        <v>16</v>
      </c>
      <c r="G222">
        <v>5300000</v>
      </c>
      <c r="H222">
        <v>0</v>
      </c>
      <c r="I222" t="s">
        <v>17</v>
      </c>
      <c r="J222" s="1">
        <v>46038</v>
      </c>
      <c r="K222">
        <v>7000000</v>
      </c>
    </row>
    <row r="223" spans="1:12" x14ac:dyDescent="0.3">
      <c r="A223" t="s">
        <v>264</v>
      </c>
      <c r="B223" s="1">
        <v>45384</v>
      </c>
      <c r="C223" t="s">
        <v>22</v>
      </c>
      <c r="D223" t="s">
        <v>14</v>
      </c>
      <c r="E223" t="s">
        <v>15</v>
      </c>
      <c r="F223" t="s">
        <v>25</v>
      </c>
      <c r="G223">
        <v>3450000</v>
      </c>
      <c r="H223">
        <v>3450000</v>
      </c>
      <c r="I223" t="s">
        <v>20</v>
      </c>
      <c r="J223" s="1">
        <v>45623</v>
      </c>
      <c r="K223">
        <v>8000000</v>
      </c>
    </row>
    <row r="224" spans="1:12" x14ac:dyDescent="0.3">
      <c r="A224" t="s">
        <v>265</v>
      </c>
      <c r="B224" s="1">
        <v>45477</v>
      </c>
      <c r="C224" t="s">
        <v>28</v>
      </c>
      <c r="D224" t="s">
        <v>23</v>
      </c>
      <c r="E224" t="s">
        <v>24</v>
      </c>
      <c r="F224" t="s">
        <v>33</v>
      </c>
      <c r="G224">
        <v>7450000</v>
      </c>
      <c r="H224">
        <v>850000</v>
      </c>
      <c r="I224" t="s">
        <v>26</v>
      </c>
      <c r="J224" s="1">
        <v>46331</v>
      </c>
      <c r="K224">
        <v>7000000</v>
      </c>
    </row>
    <row r="225" spans="1:12" x14ac:dyDescent="0.3">
      <c r="A225" t="s">
        <v>266</v>
      </c>
      <c r="B225" s="1">
        <v>45613</v>
      </c>
      <c r="C225" t="s">
        <v>35</v>
      </c>
      <c r="D225" t="s">
        <v>14</v>
      </c>
      <c r="E225" t="s">
        <v>15</v>
      </c>
      <c r="F225" t="s">
        <v>16</v>
      </c>
      <c r="G225">
        <v>4950000</v>
      </c>
      <c r="H225">
        <v>0</v>
      </c>
      <c r="I225" t="s">
        <v>17</v>
      </c>
      <c r="J225" s="1">
        <v>46103</v>
      </c>
      <c r="K225">
        <v>9000000</v>
      </c>
      <c r="L225" t="s">
        <v>18</v>
      </c>
    </row>
    <row r="226" spans="1:12" x14ac:dyDescent="0.3">
      <c r="A226" t="s">
        <v>267</v>
      </c>
      <c r="B226" s="1">
        <v>45522</v>
      </c>
      <c r="C226" t="s">
        <v>13</v>
      </c>
      <c r="D226" t="s">
        <v>23</v>
      </c>
      <c r="E226" t="s">
        <v>24</v>
      </c>
      <c r="F226" t="s">
        <v>16</v>
      </c>
      <c r="G226">
        <v>5850000</v>
      </c>
      <c r="H226">
        <v>1700000</v>
      </c>
      <c r="I226" t="s">
        <v>26</v>
      </c>
      <c r="J226" s="1">
        <v>45888</v>
      </c>
      <c r="K226">
        <v>8500000</v>
      </c>
      <c r="L226" t="s">
        <v>52</v>
      </c>
    </row>
    <row r="227" spans="1:12" x14ac:dyDescent="0.3">
      <c r="A227" t="s">
        <v>268</v>
      </c>
      <c r="B227" s="1">
        <v>45641</v>
      </c>
      <c r="C227" t="s">
        <v>31</v>
      </c>
      <c r="D227" t="s">
        <v>23</v>
      </c>
      <c r="E227" t="s">
        <v>24</v>
      </c>
      <c r="F227" t="s">
        <v>51</v>
      </c>
      <c r="G227">
        <v>12900000</v>
      </c>
      <c r="H227">
        <v>4200000</v>
      </c>
      <c r="I227" t="s">
        <v>26</v>
      </c>
      <c r="J227" s="1">
        <v>46063</v>
      </c>
      <c r="K227">
        <v>7500000</v>
      </c>
      <c r="L227" t="s">
        <v>52</v>
      </c>
    </row>
    <row r="228" spans="1:12" x14ac:dyDescent="0.3">
      <c r="A228" t="s">
        <v>269</v>
      </c>
      <c r="B228" s="1">
        <v>45295</v>
      </c>
      <c r="C228" t="s">
        <v>13</v>
      </c>
      <c r="D228" t="s">
        <v>14</v>
      </c>
      <c r="E228" t="s">
        <v>15</v>
      </c>
      <c r="F228" t="s">
        <v>25</v>
      </c>
      <c r="G228">
        <v>3250000</v>
      </c>
      <c r="H228">
        <v>3250000</v>
      </c>
      <c r="I228" t="s">
        <v>20</v>
      </c>
      <c r="J228" s="1">
        <v>45484</v>
      </c>
      <c r="K228">
        <v>8500000</v>
      </c>
      <c r="L228" t="s">
        <v>29</v>
      </c>
    </row>
    <row r="229" spans="1:12" x14ac:dyDescent="0.3">
      <c r="A229" t="s">
        <v>270</v>
      </c>
      <c r="B229" s="1">
        <v>45415</v>
      </c>
      <c r="C229" t="s">
        <v>31</v>
      </c>
      <c r="D229" t="s">
        <v>14</v>
      </c>
      <c r="E229" t="s">
        <v>15</v>
      </c>
      <c r="F229" t="s">
        <v>51</v>
      </c>
      <c r="G229">
        <v>13400000</v>
      </c>
      <c r="H229">
        <v>13400000</v>
      </c>
      <c r="I229" t="s">
        <v>20</v>
      </c>
      <c r="J229" s="1">
        <v>46170</v>
      </c>
      <c r="K229">
        <v>7500000</v>
      </c>
    </row>
    <row r="230" spans="1:12" x14ac:dyDescent="0.3">
      <c r="A230" t="s">
        <v>271</v>
      </c>
      <c r="B230" s="1">
        <v>45366</v>
      </c>
      <c r="C230" t="s">
        <v>22</v>
      </c>
      <c r="D230" t="s">
        <v>23</v>
      </c>
      <c r="E230" t="s">
        <v>24</v>
      </c>
      <c r="F230" t="s">
        <v>16</v>
      </c>
      <c r="G230">
        <v>4300000</v>
      </c>
      <c r="H230">
        <v>4300000</v>
      </c>
      <c r="I230" t="s">
        <v>20</v>
      </c>
      <c r="J230" s="1">
        <v>45883</v>
      </c>
      <c r="K230">
        <v>8000000</v>
      </c>
      <c r="L230" t="s">
        <v>29</v>
      </c>
    </row>
    <row r="231" spans="1:12" x14ac:dyDescent="0.3">
      <c r="A231" t="s">
        <v>272</v>
      </c>
      <c r="B231" s="1">
        <v>45352</v>
      </c>
      <c r="C231" t="s">
        <v>28</v>
      </c>
      <c r="D231" t="s">
        <v>44</v>
      </c>
      <c r="E231" t="s">
        <v>45</v>
      </c>
      <c r="F231" t="s">
        <v>33</v>
      </c>
      <c r="G231">
        <v>7450000</v>
      </c>
      <c r="H231">
        <v>1600000</v>
      </c>
      <c r="I231" t="s">
        <v>26</v>
      </c>
      <c r="J231" s="1">
        <v>45985</v>
      </c>
      <c r="K231">
        <v>7000000</v>
      </c>
      <c r="L231" t="s">
        <v>18</v>
      </c>
    </row>
    <row r="232" spans="1:12" x14ac:dyDescent="0.3">
      <c r="A232" t="s">
        <v>273</v>
      </c>
      <c r="B232" s="1">
        <v>45584</v>
      </c>
      <c r="C232" t="s">
        <v>31</v>
      </c>
      <c r="D232" t="s">
        <v>23</v>
      </c>
      <c r="E232" t="s">
        <v>24</v>
      </c>
      <c r="F232" t="s">
        <v>33</v>
      </c>
      <c r="G232">
        <v>7150000</v>
      </c>
      <c r="H232">
        <v>7150000</v>
      </c>
      <c r="I232" t="s">
        <v>20</v>
      </c>
      <c r="J232" s="1">
        <v>46225</v>
      </c>
      <c r="K232">
        <v>7500000</v>
      </c>
      <c r="L232" t="s">
        <v>38</v>
      </c>
    </row>
    <row r="233" spans="1:12" x14ac:dyDescent="0.3">
      <c r="A233" t="s">
        <v>274</v>
      </c>
      <c r="B233" s="1">
        <v>45344</v>
      </c>
      <c r="C233" t="s">
        <v>31</v>
      </c>
      <c r="D233" t="s">
        <v>14</v>
      </c>
      <c r="E233" t="s">
        <v>15</v>
      </c>
      <c r="F233" t="s">
        <v>51</v>
      </c>
      <c r="G233">
        <v>11350000</v>
      </c>
      <c r="H233">
        <v>11350000</v>
      </c>
      <c r="I233" t="s">
        <v>20</v>
      </c>
      <c r="J233" s="1">
        <v>45726</v>
      </c>
      <c r="K233">
        <v>7500000</v>
      </c>
    </row>
    <row r="234" spans="1:12" x14ac:dyDescent="0.3">
      <c r="A234" t="s">
        <v>275</v>
      </c>
      <c r="B234" s="1">
        <v>45438</v>
      </c>
      <c r="C234" t="s">
        <v>35</v>
      </c>
      <c r="D234" t="s">
        <v>14</v>
      </c>
      <c r="E234" t="s">
        <v>15</v>
      </c>
      <c r="F234" t="s">
        <v>51</v>
      </c>
      <c r="G234">
        <v>12300000</v>
      </c>
      <c r="H234">
        <v>12300000</v>
      </c>
      <c r="I234" t="s">
        <v>20</v>
      </c>
      <c r="J234" s="1">
        <v>45745</v>
      </c>
      <c r="K234">
        <v>9000000</v>
      </c>
      <c r="L234" t="s">
        <v>40</v>
      </c>
    </row>
    <row r="235" spans="1:12" x14ac:dyDescent="0.3">
      <c r="A235" t="s">
        <v>276</v>
      </c>
      <c r="B235" s="1">
        <v>45370</v>
      </c>
      <c r="C235" t="s">
        <v>13</v>
      </c>
      <c r="D235" t="s">
        <v>44</v>
      </c>
      <c r="E235" t="s">
        <v>45</v>
      </c>
      <c r="F235" t="s">
        <v>16</v>
      </c>
      <c r="G235">
        <v>4850000</v>
      </c>
      <c r="H235">
        <v>0</v>
      </c>
      <c r="I235" t="s">
        <v>17</v>
      </c>
      <c r="J235" s="1">
        <v>46112</v>
      </c>
      <c r="K235">
        <v>8500000</v>
      </c>
    </row>
    <row r="236" spans="1:12" x14ac:dyDescent="0.3">
      <c r="A236" t="s">
        <v>277</v>
      </c>
      <c r="B236" s="1">
        <v>45643</v>
      </c>
      <c r="C236" t="s">
        <v>35</v>
      </c>
      <c r="D236" t="s">
        <v>23</v>
      </c>
      <c r="E236" t="s">
        <v>24</v>
      </c>
      <c r="F236" t="s">
        <v>25</v>
      </c>
      <c r="G236">
        <v>2900000</v>
      </c>
      <c r="H236">
        <v>2900000</v>
      </c>
      <c r="I236" t="s">
        <v>20</v>
      </c>
      <c r="J236" s="1">
        <v>46017</v>
      </c>
      <c r="K236">
        <v>9000000</v>
      </c>
      <c r="L236" t="s">
        <v>38</v>
      </c>
    </row>
    <row r="237" spans="1:12" x14ac:dyDescent="0.3">
      <c r="A237" t="s">
        <v>278</v>
      </c>
      <c r="B237" s="1">
        <v>45437</v>
      </c>
      <c r="C237" t="s">
        <v>35</v>
      </c>
      <c r="D237" t="s">
        <v>44</v>
      </c>
      <c r="E237" t="s">
        <v>45</v>
      </c>
      <c r="F237" t="s">
        <v>33</v>
      </c>
      <c r="G237">
        <v>7150000</v>
      </c>
      <c r="H237">
        <v>7150000</v>
      </c>
      <c r="I237" t="s">
        <v>20</v>
      </c>
      <c r="J237" s="1">
        <v>45700</v>
      </c>
      <c r="K237">
        <v>9000000</v>
      </c>
      <c r="L237" t="s">
        <v>52</v>
      </c>
    </row>
    <row r="238" spans="1:12" x14ac:dyDescent="0.3">
      <c r="A238" t="s">
        <v>279</v>
      </c>
      <c r="B238" s="1">
        <v>45631</v>
      </c>
      <c r="C238" t="s">
        <v>28</v>
      </c>
      <c r="D238" t="s">
        <v>14</v>
      </c>
      <c r="E238" t="s">
        <v>15</v>
      </c>
      <c r="F238" t="s">
        <v>33</v>
      </c>
      <c r="G238">
        <v>7800000</v>
      </c>
      <c r="H238">
        <v>7800000</v>
      </c>
      <c r="I238" t="s">
        <v>20</v>
      </c>
      <c r="J238" s="1">
        <v>46014</v>
      </c>
      <c r="K238">
        <v>7000000</v>
      </c>
      <c r="L238" t="s">
        <v>52</v>
      </c>
    </row>
    <row r="239" spans="1:12" x14ac:dyDescent="0.3">
      <c r="A239" t="s">
        <v>280</v>
      </c>
      <c r="B239" s="1">
        <v>45638</v>
      </c>
      <c r="C239" t="s">
        <v>31</v>
      </c>
      <c r="D239" t="s">
        <v>44</v>
      </c>
      <c r="E239" t="s">
        <v>45</v>
      </c>
      <c r="F239" t="s">
        <v>16</v>
      </c>
      <c r="G239">
        <v>5600000</v>
      </c>
      <c r="H239">
        <v>0</v>
      </c>
      <c r="I239" t="s">
        <v>17</v>
      </c>
      <c r="J239" s="1">
        <v>46277</v>
      </c>
      <c r="K239">
        <v>7500000</v>
      </c>
      <c r="L239" t="s">
        <v>29</v>
      </c>
    </row>
    <row r="240" spans="1:12" x14ac:dyDescent="0.3">
      <c r="A240" t="s">
        <v>281</v>
      </c>
      <c r="B240" s="1">
        <v>45420</v>
      </c>
      <c r="C240" t="s">
        <v>22</v>
      </c>
      <c r="D240" t="s">
        <v>23</v>
      </c>
      <c r="E240" t="s">
        <v>24</v>
      </c>
      <c r="F240" t="s">
        <v>33</v>
      </c>
      <c r="G240">
        <v>6950000</v>
      </c>
      <c r="H240">
        <v>0</v>
      </c>
      <c r="I240" t="s">
        <v>17</v>
      </c>
      <c r="J240" s="1">
        <v>46128</v>
      </c>
      <c r="K240">
        <v>8000000</v>
      </c>
      <c r="L240" t="s">
        <v>38</v>
      </c>
    </row>
    <row r="241" spans="1:12" x14ac:dyDescent="0.3">
      <c r="A241" t="s">
        <v>282</v>
      </c>
      <c r="B241" s="1">
        <v>45383</v>
      </c>
      <c r="C241" t="s">
        <v>35</v>
      </c>
      <c r="D241" t="s">
        <v>14</v>
      </c>
      <c r="E241" t="s">
        <v>15</v>
      </c>
      <c r="F241" t="s">
        <v>16</v>
      </c>
      <c r="G241">
        <v>4100000</v>
      </c>
      <c r="H241">
        <v>4100000</v>
      </c>
      <c r="I241" t="s">
        <v>20</v>
      </c>
      <c r="J241" s="1">
        <v>46129</v>
      </c>
      <c r="K241">
        <v>9000000</v>
      </c>
      <c r="L241" t="s">
        <v>18</v>
      </c>
    </row>
    <row r="242" spans="1:12" x14ac:dyDescent="0.3">
      <c r="A242" t="s">
        <v>283</v>
      </c>
      <c r="B242" s="1">
        <v>45306</v>
      </c>
      <c r="C242" t="s">
        <v>22</v>
      </c>
      <c r="D242" t="s">
        <v>23</v>
      </c>
      <c r="E242" t="s">
        <v>24</v>
      </c>
      <c r="F242" t="s">
        <v>16</v>
      </c>
      <c r="G242">
        <v>5200000</v>
      </c>
      <c r="H242">
        <v>5200000</v>
      </c>
      <c r="I242" t="s">
        <v>20</v>
      </c>
      <c r="J242" s="1">
        <v>45525</v>
      </c>
      <c r="K242">
        <v>8000000</v>
      </c>
      <c r="L242" t="s">
        <v>38</v>
      </c>
    </row>
    <row r="243" spans="1:12" x14ac:dyDescent="0.3">
      <c r="A243" t="s">
        <v>284</v>
      </c>
      <c r="B243" s="1">
        <v>45645</v>
      </c>
      <c r="C243" t="s">
        <v>22</v>
      </c>
      <c r="D243" t="s">
        <v>44</v>
      </c>
      <c r="E243" t="s">
        <v>45</v>
      </c>
      <c r="F243" t="s">
        <v>16</v>
      </c>
      <c r="G243">
        <v>4450000</v>
      </c>
      <c r="H243">
        <v>1250000</v>
      </c>
      <c r="I243" t="s">
        <v>26</v>
      </c>
      <c r="J243" s="1">
        <v>46018</v>
      </c>
      <c r="K243">
        <v>8000000</v>
      </c>
    </row>
    <row r="244" spans="1:12" x14ac:dyDescent="0.3">
      <c r="A244" t="s">
        <v>285</v>
      </c>
      <c r="B244" s="1">
        <v>45329</v>
      </c>
      <c r="C244" t="s">
        <v>35</v>
      </c>
      <c r="D244" t="s">
        <v>23</v>
      </c>
      <c r="E244" t="s">
        <v>24</v>
      </c>
      <c r="F244" t="s">
        <v>16</v>
      </c>
      <c r="G244">
        <v>5550000</v>
      </c>
      <c r="H244">
        <v>5550000</v>
      </c>
      <c r="I244" t="s">
        <v>20</v>
      </c>
      <c r="J244" s="1">
        <v>46069</v>
      </c>
      <c r="K244">
        <v>9000000</v>
      </c>
      <c r="L244" t="s">
        <v>38</v>
      </c>
    </row>
    <row r="245" spans="1:12" x14ac:dyDescent="0.3">
      <c r="A245" t="s">
        <v>286</v>
      </c>
      <c r="B245" s="1">
        <v>45646</v>
      </c>
      <c r="C245" t="s">
        <v>28</v>
      </c>
      <c r="D245" t="s">
        <v>14</v>
      </c>
      <c r="E245" t="s">
        <v>15</v>
      </c>
      <c r="F245" t="s">
        <v>33</v>
      </c>
      <c r="G245">
        <v>8350000</v>
      </c>
      <c r="H245">
        <v>8350000</v>
      </c>
      <c r="I245" t="s">
        <v>20</v>
      </c>
      <c r="J245" s="1">
        <v>46246</v>
      </c>
      <c r="K245">
        <v>7000000</v>
      </c>
      <c r="L245" t="s">
        <v>40</v>
      </c>
    </row>
    <row r="246" spans="1:12" x14ac:dyDescent="0.3">
      <c r="A246" t="s">
        <v>287</v>
      </c>
      <c r="B246" s="1">
        <v>45341</v>
      </c>
      <c r="C246" t="s">
        <v>35</v>
      </c>
      <c r="D246" t="s">
        <v>44</v>
      </c>
      <c r="E246" t="s">
        <v>45</v>
      </c>
      <c r="F246" t="s">
        <v>25</v>
      </c>
      <c r="G246">
        <v>3100000</v>
      </c>
      <c r="H246">
        <v>850000</v>
      </c>
      <c r="I246" t="s">
        <v>26</v>
      </c>
      <c r="J246" s="1">
        <v>46207</v>
      </c>
      <c r="K246">
        <v>9000000</v>
      </c>
      <c r="L246" t="s">
        <v>38</v>
      </c>
    </row>
    <row r="247" spans="1:12" x14ac:dyDescent="0.3">
      <c r="A247" t="s">
        <v>288</v>
      </c>
      <c r="B247" s="1">
        <v>45404</v>
      </c>
      <c r="C247" t="s">
        <v>35</v>
      </c>
      <c r="D247" t="s">
        <v>14</v>
      </c>
      <c r="E247" t="s">
        <v>15</v>
      </c>
      <c r="F247" t="s">
        <v>16</v>
      </c>
      <c r="G247">
        <v>5700000</v>
      </c>
      <c r="H247">
        <v>5700000</v>
      </c>
      <c r="I247" t="s">
        <v>20</v>
      </c>
      <c r="J247" s="1">
        <v>45907</v>
      </c>
      <c r="K247">
        <v>9000000</v>
      </c>
    </row>
    <row r="248" spans="1:12" x14ac:dyDescent="0.3">
      <c r="A248" t="s">
        <v>289</v>
      </c>
      <c r="B248" s="1">
        <v>45576</v>
      </c>
      <c r="C248" t="s">
        <v>31</v>
      </c>
      <c r="D248" t="s">
        <v>14</v>
      </c>
      <c r="E248" t="s">
        <v>15</v>
      </c>
      <c r="F248" t="s">
        <v>16</v>
      </c>
      <c r="G248">
        <v>4650000</v>
      </c>
      <c r="H248">
        <v>1350000</v>
      </c>
      <c r="I248" t="s">
        <v>26</v>
      </c>
      <c r="J248" s="1">
        <v>46123</v>
      </c>
      <c r="K248">
        <v>7500000</v>
      </c>
      <c r="L248" t="s">
        <v>42</v>
      </c>
    </row>
    <row r="249" spans="1:12" x14ac:dyDescent="0.3">
      <c r="A249" t="s">
        <v>290</v>
      </c>
      <c r="B249" s="1">
        <v>45305</v>
      </c>
      <c r="C249" t="s">
        <v>22</v>
      </c>
      <c r="D249" t="s">
        <v>14</v>
      </c>
      <c r="E249" t="s">
        <v>15</v>
      </c>
      <c r="F249" t="s">
        <v>51</v>
      </c>
      <c r="G249">
        <v>11750000</v>
      </c>
      <c r="H249">
        <v>1300000</v>
      </c>
      <c r="I249" t="s">
        <v>26</v>
      </c>
      <c r="J249" s="1">
        <v>45664</v>
      </c>
      <c r="K249">
        <v>8000000</v>
      </c>
    </row>
    <row r="250" spans="1:12" x14ac:dyDescent="0.3">
      <c r="A250" t="s">
        <v>291</v>
      </c>
      <c r="B250" s="1">
        <v>45351</v>
      </c>
      <c r="C250" t="s">
        <v>13</v>
      </c>
      <c r="D250" t="s">
        <v>14</v>
      </c>
      <c r="E250" t="s">
        <v>114</v>
      </c>
      <c r="F250" t="s">
        <v>33</v>
      </c>
      <c r="G250">
        <v>8800000</v>
      </c>
      <c r="H250">
        <v>1950000</v>
      </c>
      <c r="I250" t="s">
        <v>26</v>
      </c>
      <c r="J250" s="1">
        <v>45723</v>
      </c>
      <c r="K250">
        <v>8500000</v>
      </c>
    </row>
    <row r="251" spans="1:12" x14ac:dyDescent="0.3">
      <c r="A251" t="s">
        <v>292</v>
      </c>
      <c r="B251" s="1">
        <v>45528</v>
      </c>
      <c r="C251" t="s">
        <v>22</v>
      </c>
      <c r="D251" t="s">
        <v>14</v>
      </c>
      <c r="E251" t="s">
        <v>15</v>
      </c>
      <c r="F251" t="s">
        <v>16</v>
      </c>
      <c r="G251">
        <v>5950000</v>
      </c>
      <c r="H251">
        <v>0</v>
      </c>
      <c r="I251" t="s">
        <v>17</v>
      </c>
      <c r="J251" s="1">
        <v>46006</v>
      </c>
      <c r="K251">
        <v>8000000</v>
      </c>
    </row>
    <row r="252" spans="1:12" x14ac:dyDescent="0.3">
      <c r="A252" t="s">
        <v>293</v>
      </c>
      <c r="B252" s="1">
        <v>45497</v>
      </c>
      <c r="C252" t="s">
        <v>28</v>
      </c>
      <c r="D252" t="s">
        <v>14</v>
      </c>
      <c r="E252" t="s">
        <v>15</v>
      </c>
      <c r="F252" t="s">
        <v>16</v>
      </c>
      <c r="G252">
        <v>5500000</v>
      </c>
      <c r="H252">
        <v>5500000</v>
      </c>
      <c r="I252" t="s">
        <v>20</v>
      </c>
      <c r="J252" s="1">
        <v>46162</v>
      </c>
      <c r="K252">
        <v>7000000</v>
      </c>
    </row>
    <row r="253" spans="1:12" x14ac:dyDescent="0.3">
      <c r="A253" t="s">
        <v>294</v>
      </c>
      <c r="B253" s="1">
        <v>45491</v>
      </c>
      <c r="C253" t="s">
        <v>13</v>
      </c>
      <c r="D253" t="s">
        <v>14</v>
      </c>
      <c r="E253" t="s">
        <v>15</v>
      </c>
      <c r="F253" t="s">
        <v>16</v>
      </c>
      <c r="G253">
        <v>4450000</v>
      </c>
      <c r="H253">
        <v>4450000</v>
      </c>
      <c r="I253" t="s">
        <v>20</v>
      </c>
      <c r="J253" s="1">
        <v>46117</v>
      </c>
      <c r="K253">
        <v>8500000</v>
      </c>
    </row>
    <row r="254" spans="1:12" x14ac:dyDescent="0.3">
      <c r="A254" t="s">
        <v>295</v>
      </c>
      <c r="B254" s="1">
        <v>45604</v>
      </c>
      <c r="C254" t="s">
        <v>13</v>
      </c>
      <c r="D254" t="s">
        <v>14</v>
      </c>
      <c r="E254" t="s">
        <v>114</v>
      </c>
      <c r="F254" t="s">
        <v>16</v>
      </c>
      <c r="G254">
        <v>5900000</v>
      </c>
      <c r="H254">
        <v>850000</v>
      </c>
      <c r="I254" t="s">
        <v>26</v>
      </c>
      <c r="J254" s="1">
        <v>46256</v>
      </c>
      <c r="K254">
        <v>8500000</v>
      </c>
      <c r="L254" t="s">
        <v>18</v>
      </c>
    </row>
    <row r="255" spans="1:12" x14ac:dyDescent="0.3">
      <c r="A255" t="s">
        <v>296</v>
      </c>
      <c r="B255" s="1">
        <v>45593</v>
      </c>
      <c r="C255" t="s">
        <v>35</v>
      </c>
      <c r="D255" t="s">
        <v>44</v>
      </c>
      <c r="E255" t="s">
        <v>45</v>
      </c>
      <c r="F255" t="s">
        <v>33</v>
      </c>
      <c r="G255">
        <v>8300000</v>
      </c>
      <c r="H255">
        <v>8300000</v>
      </c>
      <c r="I255" t="s">
        <v>20</v>
      </c>
      <c r="J255" s="1">
        <v>46403</v>
      </c>
      <c r="K255">
        <v>9000000</v>
      </c>
      <c r="L255" t="s">
        <v>52</v>
      </c>
    </row>
    <row r="256" spans="1:12" x14ac:dyDescent="0.3">
      <c r="A256" t="s">
        <v>297</v>
      </c>
      <c r="B256" s="1">
        <v>45627</v>
      </c>
      <c r="C256" t="s">
        <v>22</v>
      </c>
      <c r="D256" t="s">
        <v>23</v>
      </c>
      <c r="E256" t="s">
        <v>24</v>
      </c>
      <c r="F256" t="s">
        <v>16</v>
      </c>
      <c r="G256">
        <v>5600000</v>
      </c>
      <c r="H256">
        <v>1850000</v>
      </c>
      <c r="I256" t="s">
        <v>26</v>
      </c>
      <c r="J256" s="1">
        <v>46266</v>
      </c>
      <c r="K256">
        <v>8000000</v>
      </c>
      <c r="L256" t="s">
        <v>40</v>
      </c>
    </row>
    <row r="257" spans="1:12" x14ac:dyDescent="0.3">
      <c r="A257" t="s">
        <v>298</v>
      </c>
      <c r="B257" s="1">
        <v>45640</v>
      </c>
      <c r="C257" t="s">
        <v>13</v>
      </c>
      <c r="D257" t="s">
        <v>23</v>
      </c>
      <c r="E257" t="s">
        <v>24</v>
      </c>
      <c r="F257" t="s">
        <v>16</v>
      </c>
      <c r="G257">
        <v>5250000</v>
      </c>
      <c r="H257">
        <v>1350000</v>
      </c>
      <c r="I257" t="s">
        <v>26</v>
      </c>
      <c r="J257" s="1">
        <v>46386</v>
      </c>
      <c r="K257">
        <v>8500000</v>
      </c>
      <c r="L257" t="s">
        <v>42</v>
      </c>
    </row>
    <row r="258" spans="1:12" x14ac:dyDescent="0.3">
      <c r="A258" t="s">
        <v>299</v>
      </c>
      <c r="B258" s="1">
        <v>45624</v>
      </c>
      <c r="C258" t="s">
        <v>22</v>
      </c>
      <c r="D258" t="s">
        <v>44</v>
      </c>
      <c r="E258" t="s">
        <v>45</v>
      </c>
      <c r="F258" t="s">
        <v>25</v>
      </c>
      <c r="G258">
        <v>3300000</v>
      </c>
      <c r="H258">
        <v>3300000</v>
      </c>
      <c r="I258" t="s">
        <v>20</v>
      </c>
      <c r="J258" s="1">
        <v>46057</v>
      </c>
      <c r="K258">
        <v>8000000</v>
      </c>
      <c r="L258" t="s">
        <v>29</v>
      </c>
    </row>
    <row r="259" spans="1:12" x14ac:dyDescent="0.3">
      <c r="A259" t="s">
        <v>300</v>
      </c>
      <c r="B259" s="1">
        <v>45608</v>
      </c>
      <c r="C259" t="s">
        <v>13</v>
      </c>
      <c r="D259" t="s">
        <v>56</v>
      </c>
      <c r="E259" t="s">
        <v>24</v>
      </c>
      <c r="F259" t="s">
        <v>25</v>
      </c>
      <c r="G259">
        <v>2950000</v>
      </c>
      <c r="H259">
        <v>2950000</v>
      </c>
      <c r="I259" t="s">
        <v>20</v>
      </c>
      <c r="J259" s="1">
        <v>46037</v>
      </c>
      <c r="K259">
        <v>8500000</v>
      </c>
    </row>
    <row r="260" spans="1:12" x14ac:dyDescent="0.3">
      <c r="A260" t="s">
        <v>301</v>
      </c>
      <c r="B260" s="1">
        <v>45342</v>
      </c>
      <c r="C260" t="s">
        <v>13</v>
      </c>
      <c r="D260" t="s">
        <v>14</v>
      </c>
      <c r="E260" t="s">
        <v>15</v>
      </c>
      <c r="F260" t="s">
        <v>16</v>
      </c>
      <c r="G260">
        <v>4950000</v>
      </c>
      <c r="H260">
        <v>4950000</v>
      </c>
      <c r="I260" t="s">
        <v>20</v>
      </c>
      <c r="J260" s="1">
        <v>45960</v>
      </c>
      <c r="K260">
        <v>8500000</v>
      </c>
      <c r="L260" t="s">
        <v>29</v>
      </c>
    </row>
    <row r="261" spans="1:12" x14ac:dyDescent="0.3">
      <c r="A261" t="s">
        <v>302</v>
      </c>
      <c r="B261" s="1">
        <v>45397</v>
      </c>
      <c r="C261" t="s">
        <v>31</v>
      </c>
      <c r="D261" t="s">
        <v>44</v>
      </c>
      <c r="E261" t="s">
        <v>45</v>
      </c>
      <c r="F261" t="s">
        <v>16</v>
      </c>
      <c r="G261">
        <v>5100000</v>
      </c>
      <c r="H261">
        <v>5100000</v>
      </c>
      <c r="I261" t="s">
        <v>20</v>
      </c>
      <c r="J261" s="1">
        <v>46188</v>
      </c>
      <c r="K261">
        <v>7500000</v>
      </c>
    </row>
    <row r="262" spans="1:12" x14ac:dyDescent="0.3">
      <c r="A262" t="s">
        <v>303</v>
      </c>
      <c r="B262" s="1">
        <v>45578</v>
      </c>
      <c r="C262" t="s">
        <v>13</v>
      </c>
      <c r="D262" t="s">
        <v>14</v>
      </c>
      <c r="E262" t="s">
        <v>15</v>
      </c>
      <c r="F262" t="s">
        <v>51</v>
      </c>
      <c r="G262">
        <v>12900000</v>
      </c>
      <c r="H262">
        <v>0</v>
      </c>
      <c r="I262" t="s">
        <v>17</v>
      </c>
      <c r="J262" s="1">
        <v>45946</v>
      </c>
      <c r="K262">
        <v>8500000</v>
      </c>
      <c r="L262" t="s">
        <v>52</v>
      </c>
    </row>
    <row r="263" spans="1:12" x14ac:dyDescent="0.3">
      <c r="A263" t="s">
        <v>304</v>
      </c>
      <c r="B263" s="1">
        <v>45468</v>
      </c>
      <c r="C263" t="s">
        <v>31</v>
      </c>
      <c r="D263" t="s">
        <v>23</v>
      </c>
      <c r="E263" t="s">
        <v>24</v>
      </c>
      <c r="F263" t="s">
        <v>33</v>
      </c>
      <c r="G263">
        <v>6850000</v>
      </c>
      <c r="H263">
        <v>6850000</v>
      </c>
      <c r="I263" t="s">
        <v>20</v>
      </c>
      <c r="J263" s="1">
        <v>46100</v>
      </c>
      <c r="K263">
        <v>7500000</v>
      </c>
      <c r="L263" t="s">
        <v>18</v>
      </c>
    </row>
    <row r="264" spans="1:12" x14ac:dyDescent="0.3">
      <c r="A264" t="s">
        <v>305</v>
      </c>
      <c r="B264" s="1">
        <v>45583</v>
      </c>
      <c r="C264" t="s">
        <v>13</v>
      </c>
      <c r="D264" t="s">
        <v>14</v>
      </c>
      <c r="E264" t="s">
        <v>15</v>
      </c>
      <c r="F264" t="s">
        <v>51</v>
      </c>
      <c r="G264">
        <v>13450000</v>
      </c>
      <c r="H264">
        <v>13450000</v>
      </c>
      <c r="I264" t="s">
        <v>20</v>
      </c>
      <c r="J264" s="1">
        <v>45780</v>
      </c>
      <c r="K264">
        <v>8500000</v>
      </c>
      <c r="L264" t="s">
        <v>38</v>
      </c>
    </row>
    <row r="265" spans="1:12" x14ac:dyDescent="0.3">
      <c r="A265" t="s">
        <v>306</v>
      </c>
      <c r="B265" s="1">
        <v>45413</v>
      </c>
      <c r="C265" t="s">
        <v>35</v>
      </c>
      <c r="D265" t="s">
        <v>44</v>
      </c>
      <c r="E265" t="s">
        <v>45</v>
      </c>
      <c r="F265" t="s">
        <v>33</v>
      </c>
      <c r="G265">
        <v>7450000</v>
      </c>
      <c r="H265">
        <v>1400000</v>
      </c>
      <c r="I265" t="s">
        <v>26</v>
      </c>
      <c r="J265" s="1">
        <v>45655</v>
      </c>
      <c r="K265">
        <v>9000000</v>
      </c>
    </row>
    <row r="266" spans="1:12" x14ac:dyDescent="0.3">
      <c r="A266" t="s">
        <v>307</v>
      </c>
      <c r="B266" s="1">
        <v>45351</v>
      </c>
      <c r="C266" t="s">
        <v>22</v>
      </c>
      <c r="D266" t="s">
        <v>14</v>
      </c>
      <c r="E266" t="s">
        <v>15</v>
      </c>
      <c r="F266" t="s">
        <v>16</v>
      </c>
      <c r="G266">
        <v>4950000</v>
      </c>
      <c r="H266">
        <v>4950000</v>
      </c>
      <c r="I266" t="s">
        <v>20</v>
      </c>
      <c r="J266" s="1">
        <v>46217</v>
      </c>
      <c r="K266">
        <v>8000000</v>
      </c>
    </row>
    <row r="267" spans="1:12" x14ac:dyDescent="0.3">
      <c r="A267" t="s">
        <v>308</v>
      </c>
      <c r="B267" s="1">
        <v>45568</v>
      </c>
      <c r="C267" t="s">
        <v>28</v>
      </c>
      <c r="D267" t="s">
        <v>44</v>
      </c>
      <c r="E267" t="s">
        <v>309</v>
      </c>
      <c r="F267" t="s">
        <v>16</v>
      </c>
      <c r="G267">
        <v>5000000</v>
      </c>
      <c r="H267">
        <v>5000000</v>
      </c>
      <c r="I267" t="s">
        <v>20</v>
      </c>
      <c r="J267" s="1">
        <v>45862</v>
      </c>
      <c r="K267">
        <v>7000000</v>
      </c>
      <c r="L267" t="s">
        <v>40</v>
      </c>
    </row>
    <row r="268" spans="1:12" x14ac:dyDescent="0.3">
      <c r="A268" t="s">
        <v>310</v>
      </c>
      <c r="B268" s="1">
        <v>45622</v>
      </c>
      <c r="C268" t="s">
        <v>31</v>
      </c>
      <c r="D268" t="s">
        <v>14</v>
      </c>
      <c r="E268" t="s">
        <v>15</v>
      </c>
      <c r="F268" t="s">
        <v>16</v>
      </c>
      <c r="G268">
        <v>4400000</v>
      </c>
      <c r="H268">
        <v>4400000</v>
      </c>
      <c r="J268" s="1">
        <v>46418</v>
      </c>
      <c r="K268">
        <v>7500000</v>
      </c>
      <c r="L268" t="s">
        <v>52</v>
      </c>
    </row>
    <row r="269" spans="1:12" x14ac:dyDescent="0.3">
      <c r="A269" t="s">
        <v>311</v>
      </c>
      <c r="B269" s="1">
        <v>45582</v>
      </c>
      <c r="C269" t="s">
        <v>28</v>
      </c>
      <c r="D269" t="s">
        <v>14</v>
      </c>
      <c r="E269" t="s">
        <v>15</v>
      </c>
      <c r="F269" t="s">
        <v>51</v>
      </c>
      <c r="G269">
        <v>13650000</v>
      </c>
      <c r="H269">
        <v>2650000</v>
      </c>
      <c r="I269" t="s">
        <v>26</v>
      </c>
      <c r="J269" s="1">
        <v>46264</v>
      </c>
      <c r="K269">
        <v>7000000</v>
      </c>
      <c r="L269" t="s">
        <v>42</v>
      </c>
    </row>
    <row r="270" spans="1:12" x14ac:dyDescent="0.3">
      <c r="A270" t="s">
        <v>312</v>
      </c>
      <c r="B270" s="1">
        <v>45550</v>
      </c>
      <c r="C270" t="s">
        <v>31</v>
      </c>
      <c r="D270" t="s">
        <v>23</v>
      </c>
      <c r="E270" t="s">
        <v>24</v>
      </c>
      <c r="F270" t="s">
        <v>25</v>
      </c>
      <c r="G270">
        <v>3100000</v>
      </c>
      <c r="H270">
        <v>350000</v>
      </c>
      <c r="I270" t="s">
        <v>26</v>
      </c>
      <c r="J270" s="1">
        <v>46408</v>
      </c>
      <c r="K270">
        <v>7500000</v>
      </c>
      <c r="L270" t="s">
        <v>52</v>
      </c>
    </row>
    <row r="271" spans="1:12" x14ac:dyDescent="0.3">
      <c r="A271" t="s">
        <v>313</v>
      </c>
      <c r="B271" s="1">
        <v>45596</v>
      </c>
      <c r="C271" t="s">
        <v>22</v>
      </c>
      <c r="D271" t="s">
        <v>14</v>
      </c>
      <c r="E271" t="s">
        <v>15</v>
      </c>
      <c r="F271" t="s">
        <v>16</v>
      </c>
      <c r="G271">
        <v>4250000</v>
      </c>
      <c r="H271">
        <v>750000</v>
      </c>
      <c r="I271" t="s">
        <v>26</v>
      </c>
      <c r="J271" s="1">
        <v>46384</v>
      </c>
      <c r="K271">
        <v>8000000</v>
      </c>
      <c r="L271" t="s">
        <v>42</v>
      </c>
    </row>
    <row r="272" spans="1:12" x14ac:dyDescent="0.3">
      <c r="A272" t="s">
        <v>314</v>
      </c>
      <c r="B272" s="1">
        <v>45503</v>
      </c>
      <c r="C272" t="s">
        <v>35</v>
      </c>
      <c r="D272" t="s">
        <v>14</v>
      </c>
      <c r="E272" t="s">
        <v>15</v>
      </c>
      <c r="F272" t="s">
        <v>33</v>
      </c>
      <c r="G272">
        <v>7100000</v>
      </c>
      <c r="H272">
        <v>7100000</v>
      </c>
      <c r="I272" t="s">
        <v>20</v>
      </c>
      <c r="J272" s="1">
        <v>46246</v>
      </c>
      <c r="K272">
        <v>9000000</v>
      </c>
      <c r="L272" t="s">
        <v>52</v>
      </c>
    </row>
    <row r="273" spans="1:12" x14ac:dyDescent="0.3">
      <c r="A273" t="s">
        <v>315</v>
      </c>
      <c r="B273" s="1">
        <v>45553</v>
      </c>
      <c r="C273" t="s">
        <v>13</v>
      </c>
      <c r="D273" t="s">
        <v>44</v>
      </c>
      <c r="E273" t="s">
        <v>45</v>
      </c>
      <c r="F273" t="s">
        <v>16</v>
      </c>
      <c r="G273">
        <v>5400000</v>
      </c>
      <c r="H273">
        <v>5400000</v>
      </c>
      <c r="I273" t="s">
        <v>20</v>
      </c>
      <c r="J273" s="1">
        <v>46023</v>
      </c>
      <c r="K273">
        <v>8500000</v>
      </c>
    </row>
    <row r="274" spans="1:12" x14ac:dyDescent="0.3">
      <c r="A274" t="s">
        <v>316</v>
      </c>
      <c r="B274" s="1">
        <v>45576</v>
      </c>
      <c r="C274" t="s">
        <v>35</v>
      </c>
      <c r="D274" t="s">
        <v>23</v>
      </c>
      <c r="E274" t="s">
        <v>24</v>
      </c>
      <c r="F274" t="s">
        <v>33</v>
      </c>
      <c r="G274">
        <v>7450000</v>
      </c>
      <c r="H274">
        <v>2650000</v>
      </c>
      <c r="I274" t="s">
        <v>26</v>
      </c>
      <c r="J274" s="1">
        <v>46392</v>
      </c>
      <c r="K274">
        <v>9000000</v>
      </c>
    </row>
    <row r="275" spans="1:12" x14ac:dyDescent="0.3">
      <c r="A275" t="s">
        <v>317</v>
      </c>
      <c r="B275" s="1">
        <v>45656</v>
      </c>
      <c r="C275" t="s">
        <v>13</v>
      </c>
      <c r="D275" t="s">
        <v>14</v>
      </c>
      <c r="E275" t="s">
        <v>15</v>
      </c>
      <c r="F275" t="s">
        <v>16</v>
      </c>
      <c r="G275">
        <v>5300000</v>
      </c>
      <c r="H275">
        <v>5300000</v>
      </c>
      <c r="I275" t="s">
        <v>20</v>
      </c>
      <c r="J275" s="1">
        <v>45903</v>
      </c>
      <c r="K275">
        <v>8500000</v>
      </c>
      <c r="L275" t="s">
        <v>52</v>
      </c>
    </row>
    <row r="276" spans="1:12" x14ac:dyDescent="0.3">
      <c r="A276" t="s">
        <v>318</v>
      </c>
      <c r="B276" s="1">
        <v>45517</v>
      </c>
      <c r="C276" t="s">
        <v>35</v>
      </c>
      <c r="D276" t="s">
        <v>44</v>
      </c>
      <c r="E276" t="s">
        <v>45</v>
      </c>
      <c r="F276" t="s">
        <v>33</v>
      </c>
      <c r="G276">
        <v>7150000</v>
      </c>
      <c r="H276">
        <v>2050000</v>
      </c>
      <c r="I276" t="s">
        <v>26</v>
      </c>
      <c r="J276" s="1">
        <v>46150</v>
      </c>
      <c r="K276">
        <v>9000000</v>
      </c>
      <c r="L276" t="s">
        <v>29</v>
      </c>
    </row>
    <row r="277" spans="1:12" x14ac:dyDescent="0.3">
      <c r="A277" t="s">
        <v>319</v>
      </c>
      <c r="B277" s="1">
        <v>45320</v>
      </c>
      <c r="C277" t="s">
        <v>13</v>
      </c>
      <c r="D277" t="s">
        <v>23</v>
      </c>
      <c r="E277" t="s">
        <v>24</v>
      </c>
      <c r="F277" t="s">
        <v>16</v>
      </c>
      <c r="G277">
        <v>5200000</v>
      </c>
      <c r="H277">
        <v>5200000</v>
      </c>
      <c r="I277" t="s">
        <v>20</v>
      </c>
      <c r="J277" s="1">
        <v>46072</v>
      </c>
      <c r="K277">
        <v>8500000</v>
      </c>
    </row>
    <row r="278" spans="1:12" x14ac:dyDescent="0.3">
      <c r="A278" t="s">
        <v>320</v>
      </c>
      <c r="B278" s="1">
        <v>45295</v>
      </c>
      <c r="C278" t="s">
        <v>31</v>
      </c>
      <c r="D278" t="s">
        <v>23</v>
      </c>
      <c r="E278" t="s">
        <v>24</v>
      </c>
      <c r="F278" t="s">
        <v>16</v>
      </c>
      <c r="G278">
        <v>4350000</v>
      </c>
      <c r="H278">
        <v>4350000</v>
      </c>
      <c r="I278" t="s">
        <v>20</v>
      </c>
      <c r="J278" s="1">
        <v>45819</v>
      </c>
      <c r="K278">
        <v>7500000</v>
      </c>
      <c r="L278" t="s">
        <v>38</v>
      </c>
    </row>
    <row r="279" spans="1:12" x14ac:dyDescent="0.3">
      <c r="A279" t="s">
        <v>321</v>
      </c>
      <c r="B279" s="1">
        <v>45551</v>
      </c>
      <c r="C279" t="s">
        <v>35</v>
      </c>
      <c r="D279" t="s">
        <v>23</v>
      </c>
      <c r="E279" t="s">
        <v>24</v>
      </c>
      <c r="F279" t="s">
        <v>16</v>
      </c>
      <c r="G279">
        <v>5450000</v>
      </c>
      <c r="H279">
        <v>5450000</v>
      </c>
      <c r="I279" t="s">
        <v>20</v>
      </c>
      <c r="J279" s="1">
        <v>46298</v>
      </c>
      <c r="K279">
        <v>9000000</v>
      </c>
      <c r="L279" t="s">
        <v>52</v>
      </c>
    </row>
    <row r="280" spans="1:12" x14ac:dyDescent="0.3">
      <c r="A280" t="s">
        <v>322</v>
      </c>
      <c r="B280" s="1">
        <v>45472</v>
      </c>
      <c r="C280" t="s">
        <v>13</v>
      </c>
      <c r="D280" t="s">
        <v>23</v>
      </c>
      <c r="E280" t="s">
        <v>24</v>
      </c>
      <c r="F280" t="s">
        <v>33</v>
      </c>
      <c r="G280">
        <v>9000000</v>
      </c>
      <c r="H280">
        <v>9000000</v>
      </c>
      <c r="I280" t="s">
        <v>20</v>
      </c>
      <c r="J280" s="1">
        <v>46340</v>
      </c>
      <c r="K280">
        <v>8500000</v>
      </c>
      <c r="L280" t="s">
        <v>52</v>
      </c>
    </row>
    <row r="281" spans="1:12" x14ac:dyDescent="0.3">
      <c r="A281" t="s">
        <v>323</v>
      </c>
      <c r="B281" s="1">
        <v>45493</v>
      </c>
      <c r="C281" t="s">
        <v>28</v>
      </c>
      <c r="D281" t="s">
        <v>14</v>
      </c>
      <c r="E281" t="s">
        <v>15</v>
      </c>
      <c r="F281" t="s">
        <v>51</v>
      </c>
      <c r="G281">
        <v>9550000</v>
      </c>
      <c r="H281">
        <v>9550000</v>
      </c>
      <c r="J281" s="1">
        <v>45978</v>
      </c>
      <c r="K281">
        <v>7000000</v>
      </c>
    </row>
    <row r="282" spans="1:12" x14ac:dyDescent="0.3">
      <c r="A282" t="s">
        <v>324</v>
      </c>
      <c r="B282" s="1">
        <v>45465</v>
      </c>
      <c r="C282" t="s">
        <v>35</v>
      </c>
      <c r="D282" t="s">
        <v>14</v>
      </c>
      <c r="E282" t="s">
        <v>15</v>
      </c>
      <c r="F282" t="s">
        <v>33</v>
      </c>
      <c r="G282">
        <v>8200000</v>
      </c>
      <c r="H282">
        <v>8200000</v>
      </c>
      <c r="I282" t="s">
        <v>20</v>
      </c>
      <c r="J282" s="1">
        <v>45790</v>
      </c>
      <c r="K282">
        <v>9000000</v>
      </c>
      <c r="L282" t="s">
        <v>42</v>
      </c>
    </row>
    <row r="283" spans="1:12" x14ac:dyDescent="0.3">
      <c r="A283" t="s">
        <v>325</v>
      </c>
      <c r="B283" s="1">
        <v>45645</v>
      </c>
      <c r="C283" t="s">
        <v>31</v>
      </c>
      <c r="D283" t="s">
        <v>23</v>
      </c>
      <c r="E283" t="s">
        <v>24</v>
      </c>
      <c r="F283" t="s">
        <v>51</v>
      </c>
      <c r="G283">
        <v>10000000</v>
      </c>
      <c r="H283">
        <v>0</v>
      </c>
      <c r="I283" t="s">
        <v>17</v>
      </c>
      <c r="J283" s="1">
        <v>45966</v>
      </c>
      <c r="K283">
        <v>7500000</v>
      </c>
    </row>
    <row r="284" spans="1:12" x14ac:dyDescent="0.3">
      <c r="A284" t="s">
        <v>326</v>
      </c>
      <c r="B284" s="1">
        <v>45368</v>
      </c>
      <c r="C284" t="s">
        <v>13</v>
      </c>
      <c r="D284" t="s">
        <v>23</v>
      </c>
      <c r="E284" t="s">
        <v>24</v>
      </c>
      <c r="F284" t="s">
        <v>16</v>
      </c>
      <c r="G284">
        <v>5150000</v>
      </c>
      <c r="H284">
        <v>1100000</v>
      </c>
      <c r="I284" t="s">
        <v>26</v>
      </c>
      <c r="J284" s="1">
        <v>45877</v>
      </c>
      <c r="K284">
        <v>8500000</v>
      </c>
      <c r="L284" t="s">
        <v>29</v>
      </c>
    </row>
    <row r="285" spans="1:12" x14ac:dyDescent="0.3">
      <c r="A285" t="s">
        <v>327</v>
      </c>
      <c r="B285" s="1">
        <v>45485</v>
      </c>
      <c r="C285" t="s">
        <v>28</v>
      </c>
      <c r="D285" t="s">
        <v>14</v>
      </c>
      <c r="E285" t="s">
        <v>15</v>
      </c>
      <c r="F285" t="s">
        <v>33</v>
      </c>
      <c r="G285">
        <v>7200000</v>
      </c>
      <c r="H285">
        <v>7200000</v>
      </c>
      <c r="I285" t="s">
        <v>20</v>
      </c>
      <c r="J285" s="1">
        <v>46176</v>
      </c>
      <c r="K285">
        <v>7000000</v>
      </c>
    </row>
    <row r="286" spans="1:12" x14ac:dyDescent="0.3">
      <c r="A286" t="s">
        <v>328</v>
      </c>
      <c r="B286" s="1">
        <v>45480</v>
      </c>
      <c r="C286" t="s">
        <v>35</v>
      </c>
      <c r="D286" t="s">
        <v>23</v>
      </c>
      <c r="E286" t="s">
        <v>24</v>
      </c>
      <c r="F286" t="s">
        <v>33</v>
      </c>
      <c r="G286">
        <v>7800000</v>
      </c>
      <c r="H286">
        <v>0</v>
      </c>
      <c r="I286" t="s">
        <v>17</v>
      </c>
      <c r="J286" s="1">
        <v>46364</v>
      </c>
      <c r="K286">
        <v>9000000</v>
      </c>
      <c r="L286" t="s">
        <v>42</v>
      </c>
    </row>
    <row r="287" spans="1:12" x14ac:dyDescent="0.3">
      <c r="A287" t="s">
        <v>329</v>
      </c>
      <c r="B287" s="1">
        <v>45339</v>
      </c>
      <c r="C287" t="s">
        <v>13</v>
      </c>
      <c r="D287" t="s">
        <v>14</v>
      </c>
      <c r="E287" t="s">
        <v>15</v>
      </c>
      <c r="F287" t="s">
        <v>16</v>
      </c>
      <c r="G287">
        <v>4650000</v>
      </c>
      <c r="H287">
        <v>4650000</v>
      </c>
      <c r="I287" t="s">
        <v>20</v>
      </c>
      <c r="J287" s="1">
        <v>45738</v>
      </c>
      <c r="K287">
        <v>8500000</v>
      </c>
      <c r="L287" t="s">
        <v>40</v>
      </c>
    </row>
    <row r="288" spans="1:12" x14ac:dyDescent="0.3">
      <c r="A288" t="s">
        <v>330</v>
      </c>
      <c r="B288" s="1">
        <v>45619</v>
      </c>
      <c r="C288" t="s">
        <v>28</v>
      </c>
      <c r="D288" t="s">
        <v>14</v>
      </c>
      <c r="E288" t="s">
        <v>15</v>
      </c>
      <c r="F288" t="s">
        <v>51</v>
      </c>
      <c r="G288">
        <v>13700000</v>
      </c>
      <c r="H288">
        <v>3550000</v>
      </c>
      <c r="I288" t="s">
        <v>26</v>
      </c>
      <c r="J288" s="1">
        <v>46446</v>
      </c>
      <c r="K288">
        <v>7000000</v>
      </c>
    </row>
    <row r="289" spans="1:12" x14ac:dyDescent="0.3">
      <c r="A289" t="s">
        <v>331</v>
      </c>
      <c r="B289" s="1">
        <v>45513</v>
      </c>
      <c r="C289" t="s">
        <v>28</v>
      </c>
      <c r="D289" t="s">
        <v>14</v>
      </c>
      <c r="E289" t="s">
        <v>114</v>
      </c>
      <c r="F289" t="s">
        <v>51</v>
      </c>
      <c r="G289">
        <v>10550000</v>
      </c>
      <c r="H289">
        <v>1550000</v>
      </c>
      <c r="I289" t="s">
        <v>26</v>
      </c>
      <c r="J289" s="1">
        <v>45861</v>
      </c>
      <c r="K289">
        <v>7000000</v>
      </c>
      <c r="L289" t="s">
        <v>52</v>
      </c>
    </row>
    <row r="290" spans="1:12" x14ac:dyDescent="0.3">
      <c r="A290" t="s">
        <v>332</v>
      </c>
      <c r="B290" s="1">
        <v>45540</v>
      </c>
      <c r="C290" t="s">
        <v>31</v>
      </c>
      <c r="D290" t="s">
        <v>23</v>
      </c>
      <c r="E290" t="s">
        <v>24</v>
      </c>
      <c r="F290" t="s">
        <v>33</v>
      </c>
      <c r="G290">
        <v>8600000</v>
      </c>
      <c r="H290">
        <v>0</v>
      </c>
      <c r="I290" t="s">
        <v>17</v>
      </c>
      <c r="J290" s="1">
        <v>46226</v>
      </c>
      <c r="K290">
        <v>7500000</v>
      </c>
    </row>
    <row r="291" spans="1:12" x14ac:dyDescent="0.3">
      <c r="A291" t="s">
        <v>333</v>
      </c>
      <c r="B291" s="1">
        <v>45458</v>
      </c>
      <c r="C291" t="s">
        <v>28</v>
      </c>
      <c r="D291" t="s">
        <v>14</v>
      </c>
      <c r="E291" t="s">
        <v>15</v>
      </c>
      <c r="F291" t="s">
        <v>16</v>
      </c>
      <c r="G291">
        <v>4350000</v>
      </c>
      <c r="H291">
        <v>500000</v>
      </c>
      <c r="I291" t="s">
        <v>26</v>
      </c>
      <c r="J291" s="1">
        <v>45721</v>
      </c>
      <c r="K291">
        <v>7000000</v>
      </c>
      <c r="L291" t="s">
        <v>18</v>
      </c>
    </row>
    <row r="292" spans="1:12" x14ac:dyDescent="0.3">
      <c r="A292" t="s">
        <v>334</v>
      </c>
      <c r="B292" s="1">
        <v>45638</v>
      </c>
      <c r="C292" t="s">
        <v>13</v>
      </c>
      <c r="D292" t="s">
        <v>44</v>
      </c>
      <c r="E292" t="s">
        <v>45</v>
      </c>
      <c r="F292" t="s">
        <v>16</v>
      </c>
      <c r="G292">
        <v>4200000</v>
      </c>
      <c r="H292">
        <v>450000</v>
      </c>
      <c r="I292" t="s">
        <v>26</v>
      </c>
      <c r="J292" s="1">
        <v>46367</v>
      </c>
      <c r="K292">
        <v>8500000</v>
      </c>
      <c r="L292" t="s">
        <v>38</v>
      </c>
    </row>
    <row r="293" spans="1:12" x14ac:dyDescent="0.3">
      <c r="A293" t="s">
        <v>335</v>
      </c>
      <c r="B293" s="1">
        <v>45343</v>
      </c>
      <c r="C293" t="s">
        <v>13</v>
      </c>
      <c r="D293" t="s">
        <v>23</v>
      </c>
      <c r="E293" t="s">
        <v>24</v>
      </c>
      <c r="F293" t="s">
        <v>25</v>
      </c>
      <c r="G293">
        <v>3250000</v>
      </c>
      <c r="H293">
        <v>3250000</v>
      </c>
      <c r="I293" t="s">
        <v>20</v>
      </c>
      <c r="J293" s="1">
        <v>45942</v>
      </c>
      <c r="K293">
        <v>8500000</v>
      </c>
      <c r="L293" t="s">
        <v>52</v>
      </c>
    </row>
    <row r="294" spans="1:12" x14ac:dyDescent="0.3">
      <c r="A294" t="s">
        <v>336</v>
      </c>
      <c r="B294" s="1">
        <v>45453</v>
      </c>
      <c r="C294" t="s">
        <v>22</v>
      </c>
      <c r="D294" t="s">
        <v>44</v>
      </c>
      <c r="E294" t="s">
        <v>45</v>
      </c>
      <c r="F294" t="s">
        <v>16</v>
      </c>
      <c r="G294">
        <v>5600000</v>
      </c>
      <c r="H294">
        <v>0</v>
      </c>
      <c r="I294" t="s">
        <v>17</v>
      </c>
      <c r="J294" s="1">
        <v>46040</v>
      </c>
      <c r="K294">
        <v>8000000</v>
      </c>
      <c r="L294" t="s">
        <v>38</v>
      </c>
    </row>
    <row r="295" spans="1:12" x14ac:dyDescent="0.3">
      <c r="A295" t="s">
        <v>337</v>
      </c>
      <c r="B295" s="1">
        <v>45366</v>
      </c>
      <c r="C295" t="s">
        <v>35</v>
      </c>
      <c r="D295" t="s">
        <v>44</v>
      </c>
      <c r="E295" t="s">
        <v>45</v>
      </c>
      <c r="F295" t="s">
        <v>16</v>
      </c>
      <c r="G295">
        <v>5050000</v>
      </c>
      <c r="H295">
        <v>5050000</v>
      </c>
      <c r="I295" t="s">
        <v>20</v>
      </c>
      <c r="J295" s="1">
        <v>46137</v>
      </c>
      <c r="K295">
        <v>9000000</v>
      </c>
      <c r="L295" t="s">
        <v>18</v>
      </c>
    </row>
    <row r="296" spans="1:12" x14ac:dyDescent="0.3">
      <c r="A296" t="s">
        <v>338</v>
      </c>
      <c r="B296" s="1">
        <v>45306</v>
      </c>
      <c r="C296" t="s">
        <v>13</v>
      </c>
      <c r="D296" t="s">
        <v>23</v>
      </c>
      <c r="E296" t="s">
        <v>24</v>
      </c>
      <c r="F296" t="s">
        <v>33</v>
      </c>
      <c r="G296">
        <v>7200000</v>
      </c>
      <c r="H296">
        <v>2700000</v>
      </c>
      <c r="I296" t="s">
        <v>26</v>
      </c>
      <c r="J296" s="1">
        <v>46123</v>
      </c>
      <c r="K296">
        <v>8500000</v>
      </c>
    </row>
    <row r="297" spans="1:12" x14ac:dyDescent="0.3">
      <c r="A297" t="s">
        <v>339</v>
      </c>
      <c r="B297" s="1">
        <v>45580</v>
      </c>
      <c r="C297" t="s">
        <v>13</v>
      </c>
      <c r="D297" t="s">
        <v>23</v>
      </c>
      <c r="E297" t="s">
        <v>24</v>
      </c>
      <c r="F297" t="s">
        <v>51</v>
      </c>
      <c r="G297">
        <v>13100000</v>
      </c>
      <c r="H297">
        <v>13100000</v>
      </c>
      <c r="I297" t="s">
        <v>20</v>
      </c>
      <c r="J297" s="1">
        <v>45770</v>
      </c>
      <c r="K297">
        <v>8500000</v>
      </c>
      <c r="L297" t="s">
        <v>38</v>
      </c>
    </row>
    <row r="298" spans="1:12" x14ac:dyDescent="0.3">
      <c r="A298" t="s">
        <v>340</v>
      </c>
      <c r="B298" s="1">
        <v>45339</v>
      </c>
      <c r="C298" t="s">
        <v>13</v>
      </c>
      <c r="D298" t="s">
        <v>23</v>
      </c>
      <c r="E298" t="s">
        <v>24</v>
      </c>
      <c r="F298" t="s">
        <v>33</v>
      </c>
      <c r="G298">
        <v>7600000</v>
      </c>
      <c r="H298">
        <v>7600000</v>
      </c>
      <c r="I298" t="s">
        <v>20</v>
      </c>
      <c r="J298" s="1">
        <v>45989</v>
      </c>
      <c r="K298">
        <v>8500000</v>
      </c>
    </row>
    <row r="299" spans="1:12" x14ac:dyDescent="0.3">
      <c r="A299" t="s">
        <v>341</v>
      </c>
      <c r="B299" s="1">
        <v>45413</v>
      </c>
      <c r="C299" t="s">
        <v>35</v>
      </c>
      <c r="D299" t="s">
        <v>23</v>
      </c>
      <c r="E299" t="s">
        <v>24</v>
      </c>
      <c r="F299" t="s">
        <v>51</v>
      </c>
      <c r="G299">
        <v>12800000</v>
      </c>
      <c r="H299">
        <v>0</v>
      </c>
      <c r="I299" t="s">
        <v>17</v>
      </c>
      <c r="J299" s="1">
        <v>45927</v>
      </c>
      <c r="K299">
        <v>9000000</v>
      </c>
      <c r="L299" t="s">
        <v>40</v>
      </c>
    </row>
    <row r="300" spans="1:12" x14ac:dyDescent="0.3">
      <c r="A300" t="s">
        <v>342</v>
      </c>
      <c r="B300" s="1">
        <v>45636</v>
      </c>
      <c r="C300" t="s">
        <v>35</v>
      </c>
      <c r="D300" t="s">
        <v>23</v>
      </c>
      <c r="E300" t="s">
        <v>24</v>
      </c>
      <c r="F300" t="s">
        <v>16</v>
      </c>
      <c r="G300">
        <v>5700000</v>
      </c>
      <c r="H300">
        <v>5700000</v>
      </c>
      <c r="I300" t="s">
        <v>20</v>
      </c>
      <c r="J300" s="1">
        <v>46039</v>
      </c>
      <c r="K300">
        <v>9000000</v>
      </c>
      <c r="L300" t="s">
        <v>38</v>
      </c>
    </row>
    <row r="301" spans="1:12" x14ac:dyDescent="0.3">
      <c r="A301" t="s">
        <v>343</v>
      </c>
      <c r="B301" s="1">
        <v>45425</v>
      </c>
      <c r="C301" t="s">
        <v>13</v>
      </c>
      <c r="D301" t="s">
        <v>23</v>
      </c>
      <c r="E301" t="s">
        <v>24</v>
      </c>
      <c r="F301" t="s">
        <v>33</v>
      </c>
      <c r="G301">
        <v>8550000</v>
      </c>
      <c r="H301">
        <v>8550000</v>
      </c>
      <c r="I301" t="s">
        <v>20</v>
      </c>
      <c r="J301" s="1">
        <v>45730</v>
      </c>
      <c r="K301">
        <v>8500000</v>
      </c>
      <c r="L301" t="s">
        <v>52</v>
      </c>
    </row>
    <row r="302" spans="1:12" x14ac:dyDescent="0.3">
      <c r="A302" t="s">
        <v>344</v>
      </c>
      <c r="B302" s="1">
        <v>45353</v>
      </c>
      <c r="C302" t="s">
        <v>22</v>
      </c>
      <c r="D302" t="s">
        <v>44</v>
      </c>
      <c r="E302" t="s">
        <v>45</v>
      </c>
      <c r="F302" t="s">
        <v>25</v>
      </c>
      <c r="G302">
        <v>2650000</v>
      </c>
      <c r="H302">
        <v>1000000</v>
      </c>
      <c r="I302" t="s">
        <v>26</v>
      </c>
      <c r="J302" s="1">
        <v>46068</v>
      </c>
      <c r="K302">
        <v>8000000</v>
      </c>
    </row>
    <row r="303" spans="1:12" x14ac:dyDescent="0.3">
      <c r="A303" t="s">
        <v>345</v>
      </c>
      <c r="B303" s="1">
        <v>45573</v>
      </c>
      <c r="C303" t="s">
        <v>31</v>
      </c>
      <c r="D303" t="s">
        <v>23</v>
      </c>
      <c r="E303" t="s">
        <v>24</v>
      </c>
      <c r="F303" t="s">
        <v>33</v>
      </c>
      <c r="G303">
        <v>8550000</v>
      </c>
      <c r="H303">
        <v>8550000</v>
      </c>
      <c r="I303" t="s">
        <v>20</v>
      </c>
      <c r="J303" s="1">
        <v>45782</v>
      </c>
      <c r="K303">
        <v>7500000</v>
      </c>
      <c r="L303" t="s">
        <v>29</v>
      </c>
    </row>
    <row r="304" spans="1:12" x14ac:dyDescent="0.3">
      <c r="A304" t="s">
        <v>346</v>
      </c>
      <c r="B304" s="1">
        <v>45330</v>
      </c>
      <c r="C304" t="s">
        <v>13</v>
      </c>
      <c r="D304" t="s">
        <v>23</v>
      </c>
      <c r="E304" t="s">
        <v>24</v>
      </c>
      <c r="F304" t="s">
        <v>16</v>
      </c>
      <c r="G304">
        <v>5300000</v>
      </c>
      <c r="H304">
        <v>0</v>
      </c>
      <c r="I304" t="s">
        <v>17</v>
      </c>
      <c r="J304" s="1">
        <v>45917</v>
      </c>
      <c r="K304">
        <v>8500000</v>
      </c>
      <c r="L304" t="s">
        <v>38</v>
      </c>
    </row>
    <row r="305" spans="1:12" x14ac:dyDescent="0.3">
      <c r="A305" t="s">
        <v>347</v>
      </c>
      <c r="B305" s="1">
        <v>45653</v>
      </c>
      <c r="C305" t="s">
        <v>13</v>
      </c>
      <c r="D305" t="s">
        <v>14</v>
      </c>
      <c r="E305" t="s">
        <v>15</v>
      </c>
      <c r="F305" t="s">
        <v>16</v>
      </c>
      <c r="G305">
        <v>4100000</v>
      </c>
      <c r="H305">
        <v>4100000</v>
      </c>
      <c r="I305" t="s">
        <v>20</v>
      </c>
      <c r="J305" s="1">
        <v>46347</v>
      </c>
      <c r="K305">
        <v>8500000</v>
      </c>
      <c r="L305" t="s">
        <v>40</v>
      </c>
    </row>
    <row r="306" spans="1:12" x14ac:dyDescent="0.3">
      <c r="A306" t="s">
        <v>348</v>
      </c>
      <c r="B306" s="1">
        <v>45598</v>
      </c>
      <c r="C306" t="s">
        <v>28</v>
      </c>
      <c r="D306" t="s">
        <v>14</v>
      </c>
      <c r="E306" t="s">
        <v>15</v>
      </c>
      <c r="F306" t="s">
        <v>51</v>
      </c>
      <c r="G306">
        <v>10100000</v>
      </c>
      <c r="H306">
        <v>10100000</v>
      </c>
      <c r="I306" t="s">
        <v>20</v>
      </c>
      <c r="J306" s="1">
        <v>46202</v>
      </c>
      <c r="K306">
        <v>7000000</v>
      </c>
      <c r="L306" t="s">
        <v>40</v>
      </c>
    </row>
    <row r="307" spans="1:12" x14ac:dyDescent="0.3">
      <c r="A307" t="s">
        <v>349</v>
      </c>
      <c r="B307" s="1">
        <v>45465</v>
      </c>
      <c r="C307" t="s">
        <v>28</v>
      </c>
      <c r="D307" t="s">
        <v>23</v>
      </c>
      <c r="E307" t="s">
        <v>24</v>
      </c>
      <c r="F307" t="s">
        <v>33</v>
      </c>
      <c r="G307">
        <v>6650000</v>
      </c>
      <c r="H307">
        <v>2550000</v>
      </c>
      <c r="I307" t="s">
        <v>26</v>
      </c>
      <c r="J307" s="1">
        <v>45813</v>
      </c>
      <c r="K307">
        <v>7000000</v>
      </c>
    </row>
    <row r="308" spans="1:12" x14ac:dyDescent="0.3">
      <c r="A308" t="s">
        <v>350</v>
      </c>
      <c r="B308" s="1">
        <v>45595</v>
      </c>
      <c r="C308" t="s">
        <v>28</v>
      </c>
      <c r="D308" t="s">
        <v>14</v>
      </c>
      <c r="E308" t="s">
        <v>15</v>
      </c>
      <c r="F308" t="s">
        <v>33</v>
      </c>
      <c r="G308">
        <v>8450000</v>
      </c>
      <c r="H308">
        <v>0</v>
      </c>
      <c r="I308" t="s">
        <v>17</v>
      </c>
      <c r="J308" s="1">
        <v>45989</v>
      </c>
      <c r="K308">
        <v>7000000</v>
      </c>
    </row>
    <row r="309" spans="1:12" x14ac:dyDescent="0.3">
      <c r="A309" t="s">
        <v>351</v>
      </c>
      <c r="B309" s="1">
        <v>45582</v>
      </c>
      <c r="C309" t="s">
        <v>22</v>
      </c>
      <c r="D309" t="s">
        <v>23</v>
      </c>
      <c r="E309" t="s">
        <v>24</v>
      </c>
      <c r="F309" t="s">
        <v>51</v>
      </c>
      <c r="G309">
        <v>11350000</v>
      </c>
      <c r="H309">
        <v>0</v>
      </c>
      <c r="I309" t="s">
        <v>17</v>
      </c>
      <c r="J309" s="1">
        <v>46341</v>
      </c>
      <c r="K309">
        <v>8000000</v>
      </c>
      <c r="L309" t="s">
        <v>38</v>
      </c>
    </row>
    <row r="310" spans="1:12" x14ac:dyDescent="0.3">
      <c r="A310" t="s">
        <v>352</v>
      </c>
      <c r="B310" s="1">
        <v>45571</v>
      </c>
      <c r="C310" t="s">
        <v>35</v>
      </c>
      <c r="D310" t="s">
        <v>14</v>
      </c>
      <c r="E310" t="s">
        <v>15</v>
      </c>
      <c r="F310" t="s">
        <v>51</v>
      </c>
      <c r="G310">
        <v>13400000</v>
      </c>
      <c r="H310">
        <v>0</v>
      </c>
      <c r="I310" t="s">
        <v>17</v>
      </c>
      <c r="J310" s="1">
        <v>46241</v>
      </c>
      <c r="K310">
        <v>9000000</v>
      </c>
      <c r="L310" t="s">
        <v>52</v>
      </c>
    </row>
    <row r="311" spans="1:12" x14ac:dyDescent="0.3">
      <c r="A311" t="s">
        <v>353</v>
      </c>
      <c r="B311" s="1">
        <v>45613</v>
      </c>
      <c r="C311" t="s">
        <v>13</v>
      </c>
      <c r="D311" t="s">
        <v>14</v>
      </c>
      <c r="E311" t="s">
        <v>15</v>
      </c>
      <c r="F311" t="s">
        <v>33</v>
      </c>
      <c r="G311">
        <v>6900000</v>
      </c>
      <c r="H311">
        <v>1750000</v>
      </c>
      <c r="I311" t="s">
        <v>26</v>
      </c>
      <c r="J311" s="1">
        <v>46077</v>
      </c>
      <c r="K311">
        <v>8500000</v>
      </c>
      <c r="L311" t="s">
        <v>40</v>
      </c>
    </row>
    <row r="312" spans="1:12" x14ac:dyDescent="0.3">
      <c r="A312" t="s">
        <v>354</v>
      </c>
      <c r="B312" s="1">
        <v>45432</v>
      </c>
      <c r="C312" t="s">
        <v>28</v>
      </c>
      <c r="D312" t="s">
        <v>23</v>
      </c>
      <c r="E312" t="s">
        <v>24</v>
      </c>
      <c r="F312" t="s">
        <v>16</v>
      </c>
      <c r="G312">
        <v>5250000</v>
      </c>
      <c r="H312">
        <v>1000000</v>
      </c>
      <c r="I312" t="s">
        <v>26</v>
      </c>
      <c r="J312" s="1">
        <v>46129</v>
      </c>
      <c r="K312">
        <v>7000000</v>
      </c>
    </row>
    <row r="313" spans="1:12" x14ac:dyDescent="0.3">
      <c r="A313" t="s">
        <v>355</v>
      </c>
      <c r="B313" s="1">
        <v>45471</v>
      </c>
      <c r="C313" t="s">
        <v>35</v>
      </c>
      <c r="D313" t="s">
        <v>14</v>
      </c>
      <c r="E313" t="s">
        <v>15</v>
      </c>
      <c r="F313" t="s">
        <v>16</v>
      </c>
      <c r="G313">
        <v>4050000</v>
      </c>
      <c r="H313">
        <v>0</v>
      </c>
      <c r="I313" t="s">
        <v>17</v>
      </c>
      <c r="J313" s="1">
        <v>45848</v>
      </c>
      <c r="K313">
        <v>9000000</v>
      </c>
    </row>
    <row r="314" spans="1:12" x14ac:dyDescent="0.3">
      <c r="A314" t="s">
        <v>356</v>
      </c>
      <c r="B314" s="1">
        <v>45650</v>
      </c>
      <c r="C314" t="s">
        <v>35</v>
      </c>
      <c r="D314" t="s">
        <v>357</v>
      </c>
      <c r="E314" t="s">
        <v>15</v>
      </c>
      <c r="F314" t="s">
        <v>16</v>
      </c>
      <c r="G314">
        <v>4100000</v>
      </c>
      <c r="H314">
        <v>4100000</v>
      </c>
      <c r="I314" t="s">
        <v>20</v>
      </c>
      <c r="J314" s="1">
        <v>46141</v>
      </c>
      <c r="K314">
        <v>9000000</v>
      </c>
    </row>
    <row r="315" spans="1:12" x14ac:dyDescent="0.3">
      <c r="A315" t="s">
        <v>358</v>
      </c>
      <c r="B315" s="1">
        <v>45405</v>
      </c>
      <c r="C315" t="s">
        <v>13</v>
      </c>
      <c r="D315" t="s">
        <v>23</v>
      </c>
      <c r="E315" t="s">
        <v>24</v>
      </c>
      <c r="F315" t="s">
        <v>33</v>
      </c>
      <c r="G315">
        <v>8950000</v>
      </c>
      <c r="H315">
        <v>8950000</v>
      </c>
      <c r="I315" t="s">
        <v>20</v>
      </c>
      <c r="J315" s="1">
        <v>46069</v>
      </c>
      <c r="K315">
        <v>8500000</v>
      </c>
    </row>
    <row r="316" spans="1:12" x14ac:dyDescent="0.3">
      <c r="A316" t="s">
        <v>359</v>
      </c>
      <c r="B316" s="1">
        <v>45503</v>
      </c>
      <c r="C316" t="s">
        <v>13</v>
      </c>
      <c r="D316" t="s">
        <v>23</v>
      </c>
      <c r="E316" t="s">
        <v>24</v>
      </c>
      <c r="F316" t="s">
        <v>33</v>
      </c>
      <c r="G316">
        <v>8050000</v>
      </c>
      <c r="H316">
        <v>8050000</v>
      </c>
      <c r="I316" t="s">
        <v>20</v>
      </c>
      <c r="J316" s="1">
        <v>46173</v>
      </c>
      <c r="K316">
        <v>8500000</v>
      </c>
      <c r="L316" t="s">
        <v>29</v>
      </c>
    </row>
    <row r="317" spans="1:12" x14ac:dyDescent="0.3">
      <c r="A317" t="s">
        <v>360</v>
      </c>
      <c r="B317" s="1">
        <v>45540</v>
      </c>
      <c r="C317" t="s">
        <v>31</v>
      </c>
      <c r="D317" t="s">
        <v>14</v>
      </c>
      <c r="E317" t="s">
        <v>15</v>
      </c>
      <c r="F317" t="s">
        <v>16</v>
      </c>
      <c r="G317">
        <v>4150000</v>
      </c>
      <c r="H317">
        <v>4150000</v>
      </c>
      <c r="I317" t="s">
        <v>20</v>
      </c>
      <c r="J317" s="1">
        <v>45823</v>
      </c>
      <c r="K317">
        <v>7500000</v>
      </c>
    </row>
    <row r="318" spans="1:12" x14ac:dyDescent="0.3">
      <c r="A318" t="s">
        <v>361</v>
      </c>
      <c r="B318" s="1">
        <v>45532</v>
      </c>
      <c r="C318" t="s">
        <v>35</v>
      </c>
      <c r="D318" t="s">
        <v>23</v>
      </c>
      <c r="E318" t="s">
        <v>24</v>
      </c>
      <c r="F318" t="s">
        <v>16</v>
      </c>
      <c r="G318">
        <v>4850000</v>
      </c>
      <c r="H318">
        <v>4850000</v>
      </c>
      <c r="J318" s="1">
        <v>46288</v>
      </c>
      <c r="K318">
        <v>9000000</v>
      </c>
      <c r="L318" t="s">
        <v>29</v>
      </c>
    </row>
    <row r="319" spans="1:12" x14ac:dyDescent="0.3">
      <c r="A319" t="s">
        <v>362</v>
      </c>
      <c r="B319" s="1">
        <v>45370</v>
      </c>
      <c r="C319" t="s">
        <v>13</v>
      </c>
      <c r="D319" t="s">
        <v>44</v>
      </c>
      <c r="E319" t="s">
        <v>45</v>
      </c>
      <c r="F319" t="s">
        <v>16</v>
      </c>
      <c r="G319">
        <v>4850000</v>
      </c>
      <c r="H319">
        <v>0</v>
      </c>
      <c r="I319" t="s">
        <v>17</v>
      </c>
      <c r="J319" s="1">
        <v>46112</v>
      </c>
      <c r="K319">
        <v>8500000</v>
      </c>
    </row>
    <row r="320" spans="1:12" x14ac:dyDescent="0.3">
      <c r="A320" t="s">
        <v>363</v>
      </c>
      <c r="B320" s="1">
        <v>45353</v>
      </c>
      <c r="C320" t="s">
        <v>22</v>
      </c>
      <c r="D320" t="s">
        <v>44</v>
      </c>
      <c r="E320" t="s">
        <v>45</v>
      </c>
      <c r="F320" t="s">
        <v>25</v>
      </c>
      <c r="G320">
        <v>2650000</v>
      </c>
      <c r="H320">
        <v>1000000</v>
      </c>
      <c r="I320" t="s">
        <v>26</v>
      </c>
      <c r="J320" s="1">
        <v>46068</v>
      </c>
      <c r="K320">
        <v>8000000</v>
      </c>
    </row>
    <row r="321" spans="1:12" x14ac:dyDescent="0.3">
      <c r="A321" t="s">
        <v>364</v>
      </c>
      <c r="B321" s="1">
        <v>45543</v>
      </c>
      <c r="C321" t="s">
        <v>22</v>
      </c>
      <c r="D321" t="s">
        <v>14</v>
      </c>
      <c r="E321" t="s">
        <v>15</v>
      </c>
      <c r="F321" t="s">
        <v>16</v>
      </c>
      <c r="G321">
        <v>4300000</v>
      </c>
      <c r="H321">
        <v>1650000</v>
      </c>
      <c r="I321" t="s">
        <v>26</v>
      </c>
      <c r="J321" s="1">
        <v>45810</v>
      </c>
      <c r="K321">
        <v>8000000</v>
      </c>
      <c r="L321" t="s">
        <v>29</v>
      </c>
    </row>
    <row r="322" spans="1:12" x14ac:dyDescent="0.3">
      <c r="A322" t="s">
        <v>365</v>
      </c>
      <c r="B322" s="1">
        <v>45438</v>
      </c>
      <c r="C322" t="s">
        <v>28</v>
      </c>
      <c r="D322" t="s">
        <v>14</v>
      </c>
      <c r="E322" t="s">
        <v>15</v>
      </c>
      <c r="F322" t="s">
        <v>16</v>
      </c>
      <c r="G322">
        <v>4300000</v>
      </c>
      <c r="H322">
        <v>4300000</v>
      </c>
      <c r="I322" t="s">
        <v>20</v>
      </c>
      <c r="J322" s="1">
        <v>45992</v>
      </c>
      <c r="K322">
        <v>7000000</v>
      </c>
    </row>
    <row r="323" spans="1:12" x14ac:dyDescent="0.3">
      <c r="A323" t="s">
        <v>366</v>
      </c>
      <c r="B323" s="1">
        <v>45577</v>
      </c>
      <c r="C323" t="s">
        <v>28</v>
      </c>
      <c r="D323" t="s">
        <v>357</v>
      </c>
      <c r="E323" t="s">
        <v>15</v>
      </c>
      <c r="F323" t="s">
        <v>25</v>
      </c>
      <c r="G323">
        <v>2600000</v>
      </c>
      <c r="H323">
        <v>2600000</v>
      </c>
      <c r="I323" t="s">
        <v>20</v>
      </c>
      <c r="J323" s="1">
        <v>46324</v>
      </c>
      <c r="K323">
        <v>7000000</v>
      </c>
      <c r="L323" t="s">
        <v>38</v>
      </c>
    </row>
    <row r="324" spans="1:12" x14ac:dyDescent="0.3">
      <c r="A324" t="s">
        <v>367</v>
      </c>
      <c r="B324" s="1">
        <v>45463</v>
      </c>
      <c r="C324" t="s">
        <v>35</v>
      </c>
      <c r="D324" t="s">
        <v>23</v>
      </c>
      <c r="E324" t="s">
        <v>24</v>
      </c>
      <c r="F324" t="s">
        <v>16</v>
      </c>
      <c r="G324">
        <v>5800000</v>
      </c>
      <c r="H324">
        <v>1400000</v>
      </c>
      <c r="I324" t="s">
        <v>26</v>
      </c>
      <c r="J324" s="1">
        <v>45840</v>
      </c>
      <c r="K324">
        <v>9000000</v>
      </c>
      <c r="L324" t="s">
        <v>38</v>
      </c>
    </row>
    <row r="325" spans="1:12" x14ac:dyDescent="0.3">
      <c r="A325" t="s">
        <v>368</v>
      </c>
      <c r="B325" s="1">
        <v>45523</v>
      </c>
      <c r="C325" t="s">
        <v>35</v>
      </c>
      <c r="D325" t="s">
        <v>14</v>
      </c>
      <c r="E325" t="s">
        <v>15</v>
      </c>
      <c r="F325" t="s">
        <v>16</v>
      </c>
      <c r="G325">
        <v>5650000</v>
      </c>
      <c r="H325">
        <v>750000</v>
      </c>
      <c r="I325" t="s">
        <v>26</v>
      </c>
      <c r="J325" s="1">
        <v>45811</v>
      </c>
      <c r="K325">
        <v>9000000</v>
      </c>
      <c r="L325" t="s">
        <v>52</v>
      </c>
    </row>
    <row r="326" spans="1:12" x14ac:dyDescent="0.3">
      <c r="A326" t="s">
        <v>369</v>
      </c>
      <c r="B326" s="1">
        <v>45539</v>
      </c>
      <c r="C326" t="s">
        <v>22</v>
      </c>
      <c r="D326" t="s">
        <v>23</v>
      </c>
      <c r="E326" t="s">
        <v>24</v>
      </c>
      <c r="F326" t="s">
        <v>33</v>
      </c>
      <c r="G326">
        <v>7750000</v>
      </c>
      <c r="H326">
        <v>0</v>
      </c>
      <c r="I326" t="s">
        <v>17</v>
      </c>
      <c r="J326" s="1">
        <v>46021</v>
      </c>
      <c r="K326">
        <v>8000000</v>
      </c>
      <c r="L326" t="s">
        <v>42</v>
      </c>
    </row>
    <row r="327" spans="1:12" x14ac:dyDescent="0.3">
      <c r="A327" t="s">
        <v>370</v>
      </c>
      <c r="B327" s="1">
        <v>45442</v>
      </c>
      <c r="C327" t="s">
        <v>13</v>
      </c>
      <c r="D327" t="s">
        <v>14</v>
      </c>
      <c r="E327" t="s">
        <v>15</v>
      </c>
      <c r="F327" t="s">
        <v>33</v>
      </c>
      <c r="G327">
        <v>7600000</v>
      </c>
      <c r="H327">
        <v>2500000</v>
      </c>
      <c r="I327" t="s">
        <v>26</v>
      </c>
      <c r="J327" s="1">
        <v>46141</v>
      </c>
      <c r="K327">
        <v>8500000</v>
      </c>
      <c r="L327" t="s">
        <v>38</v>
      </c>
    </row>
    <row r="328" spans="1:12" x14ac:dyDescent="0.3">
      <c r="A328" t="s">
        <v>371</v>
      </c>
      <c r="B328" s="1">
        <v>45431</v>
      </c>
      <c r="C328" t="s">
        <v>35</v>
      </c>
      <c r="D328" t="s">
        <v>14</v>
      </c>
      <c r="E328" t="s">
        <v>15</v>
      </c>
      <c r="F328" t="s">
        <v>16</v>
      </c>
      <c r="G328">
        <v>4300000</v>
      </c>
      <c r="H328">
        <v>4300000</v>
      </c>
      <c r="I328" t="s">
        <v>20</v>
      </c>
      <c r="J328" s="1">
        <v>46003</v>
      </c>
      <c r="K328">
        <v>9000000</v>
      </c>
      <c r="L328" t="s">
        <v>52</v>
      </c>
    </row>
    <row r="329" spans="1:12" x14ac:dyDescent="0.3">
      <c r="A329" t="s">
        <v>372</v>
      </c>
      <c r="B329" s="1">
        <v>45619</v>
      </c>
      <c r="C329" t="s">
        <v>13</v>
      </c>
      <c r="D329" t="s">
        <v>14</v>
      </c>
      <c r="E329" t="s">
        <v>15</v>
      </c>
      <c r="F329" t="s">
        <v>16</v>
      </c>
      <c r="G329">
        <v>5250000</v>
      </c>
      <c r="H329">
        <v>1150000</v>
      </c>
      <c r="I329" t="s">
        <v>26</v>
      </c>
      <c r="J329" s="1">
        <v>46018</v>
      </c>
      <c r="K329">
        <v>8500000</v>
      </c>
      <c r="L329" t="s">
        <v>29</v>
      </c>
    </row>
    <row r="330" spans="1:12" x14ac:dyDescent="0.3">
      <c r="A330" t="s">
        <v>373</v>
      </c>
      <c r="B330" s="1">
        <v>45456</v>
      </c>
      <c r="C330" t="s">
        <v>22</v>
      </c>
      <c r="D330" t="s">
        <v>56</v>
      </c>
      <c r="E330" t="s">
        <v>24</v>
      </c>
      <c r="F330" t="s">
        <v>16</v>
      </c>
      <c r="G330">
        <v>4950000</v>
      </c>
      <c r="H330">
        <v>1550000</v>
      </c>
      <c r="I330" t="s">
        <v>26</v>
      </c>
      <c r="J330" s="1">
        <v>45806</v>
      </c>
      <c r="K330">
        <v>8000000</v>
      </c>
    </row>
    <row r="331" spans="1:12" x14ac:dyDescent="0.3">
      <c r="A331" t="s">
        <v>374</v>
      </c>
      <c r="B331" s="1">
        <v>45567</v>
      </c>
      <c r="C331" t="s">
        <v>31</v>
      </c>
      <c r="D331" t="s">
        <v>44</v>
      </c>
      <c r="E331" t="s">
        <v>45</v>
      </c>
      <c r="F331" t="s">
        <v>51</v>
      </c>
      <c r="G331">
        <v>10200000</v>
      </c>
      <c r="H331">
        <v>2400000</v>
      </c>
      <c r="I331" t="s">
        <v>26</v>
      </c>
      <c r="J331" s="1">
        <v>46467</v>
      </c>
      <c r="K331">
        <v>7500000</v>
      </c>
      <c r="L331" t="s">
        <v>40</v>
      </c>
    </row>
    <row r="332" spans="1:12" x14ac:dyDescent="0.3">
      <c r="A332" t="s">
        <v>375</v>
      </c>
      <c r="B332" s="1">
        <v>45367</v>
      </c>
      <c r="C332" t="s">
        <v>31</v>
      </c>
      <c r="D332" t="s">
        <v>14</v>
      </c>
      <c r="E332" t="s">
        <v>15</v>
      </c>
      <c r="F332" t="s">
        <v>16</v>
      </c>
      <c r="G332">
        <v>4050000</v>
      </c>
      <c r="H332">
        <v>800000</v>
      </c>
      <c r="I332" t="s">
        <v>26</v>
      </c>
      <c r="J332" s="1">
        <v>45702</v>
      </c>
      <c r="K332">
        <v>7500000</v>
      </c>
    </row>
    <row r="333" spans="1:12" x14ac:dyDescent="0.3">
      <c r="A333" t="s">
        <v>376</v>
      </c>
      <c r="B333" s="1">
        <v>45333</v>
      </c>
      <c r="C333" t="s">
        <v>35</v>
      </c>
      <c r="D333" t="s">
        <v>23</v>
      </c>
      <c r="E333" t="s">
        <v>24</v>
      </c>
      <c r="F333" t="s">
        <v>25</v>
      </c>
      <c r="G333">
        <v>3400000</v>
      </c>
      <c r="H333">
        <v>0</v>
      </c>
      <c r="I333" t="s">
        <v>17</v>
      </c>
      <c r="J333" s="1">
        <v>46178</v>
      </c>
      <c r="K333">
        <v>9000000</v>
      </c>
      <c r="L333" t="s">
        <v>40</v>
      </c>
    </row>
    <row r="334" spans="1:12" x14ac:dyDescent="0.3">
      <c r="A334" t="s">
        <v>377</v>
      </c>
      <c r="B334" s="1">
        <v>45630</v>
      </c>
      <c r="C334" t="s">
        <v>22</v>
      </c>
      <c r="D334" t="s">
        <v>23</v>
      </c>
      <c r="E334" t="s">
        <v>24</v>
      </c>
      <c r="F334" t="s">
        <v>51</v>
      </c>
      <c r="G334">
        <v>11500000</v>
      </c>
      <c r="H334">
        <v>2250000</v>
      </c>
      <c r="I334" t="s">
        <v>26</v>
      </c>
      <c r="J334" s="1">
        <v>45988</v>
      </c>
      <c r="K334">
        <v>8000000</v>
      </c>
      <c r="L334" t="s">
        <v>18</v>
      </c>
    </row>
    <row r="335" spans="1:12" x14ac:dyDescent="0.3">
      <c r="A335" t="s">
        <v>378</v>
      </c>
      <c r="B335" s="1">
        <v>45532</v>
      </c>
      <c r="C335" t="s">
        <v>35</v>
      </c>
      <c r="D335" t="s">
        <v>23</v>
      </c>
      <c r="E335" t="s">
        <v>24</v>
      </c>
      <c r="F335" t="s">
        <v>33</v>
      </c>
      <c r="G335">
        <v>6950000</v>
      </c>
      <c r="H335">
        <v>6950000</v>
      </c>
      <c r="I335" t="s">
        <v>20</v>
      </c>
      <c r="J335" s="1">
        <v>46049</v>
      </c>
      <c r="K335">
        <v>9000000</v>
      </c>
    </row>
    <row r="336" spans="1:12" x14ac:dyDescent="0.3">
      <c r="A336" t="s">
        <v>379</v>
      </c>
      <c r="B336" s="1">
        <v>45528</v>
      </c>
      <c r="C336" t="s">
        <v>35</v>
      </c>
      <c r="D336" t="s">
        <v>44</v>
      </c>
      <c r="E336" t="s">
        <v>45</v>
      </c>
      <c r="F336" t="s">
        <v>33</v>
      </c>
      <c r="G336">
        <v>8250000</v>
      </c>
      <c r="H336">
        <v>8250000</v>
      </c>
      <c r="I336" t="s">
        <v>20</v>
      </c>
      <c r="J336" s="1">
        <v>45912</v>
      </c>
      <c r="K336">
        <v>9000000</v>
      </c>
      <c r="L336" t="s">
        <v>52</v>
      </c>
    </row>
    <row r="337" spans="1:12" x14ac:dyDescent="0.3">
      <c r="A337" t="s">
        <v>380</v>
      </c>
      <c r="B337" s="1">
        <v>45381</v>
      </c>
      <c r="C337" t="s">
        <v>22</v>
      </c>
      <c r="D337" t="s">
        <v>23</v>
      </c>
      <c r="E337" t="s">
        <v>24</v>
      </c>
      <c r="F337" t="s">
        <v>33</v>
      </c>
      <c r="G337">
        <v>8800000</v>
      </c>
      <c r="H337">
        <v>8800000</v>
      </c>
      <c r="I337" t="s">
        <v>20</v>
      </c>
      <c r="J337" s="1">
        <v>45657</v>
      </c>
      <c r="K337">
        <v>8000000</v>
      </c>
    </row>
    <row r="338" spans="1:12" x14ac:dyDescent="0.3">
      <c r="A338" t="s">
        <v>381</v>
      </c>
      <c r="B338" s="1">
        <v>45525</v>
      </c>
      <c r="C338" t="s">
        <v>31</v>
      </c>
      <c r="D338" t="s">
        <v>14</v>
      </c>
      <c r="E338" t="s">
        <v>15</v>
      </c>
      <c r="F338" t="s">
        <v>16</v>
      </c>
      <c r="G338">
        <v>5950000</v>
      </c>
      <c r="H338">
        <v>1150000</v>
      </c>
      <c r="I338" t="s">
        <v>26</v>
      </c>
      <c r="J338" s="1">
        <v>46107</v>
      </c>
      <c r="K338">
        <v>7500000</v>
      </c>
      <c r="L338" t="s">
        <v>18</v>
      </c>
    </row>
    <row r="339" spans="1:12" x14ac:dyDescent="0.3">
      <c r="A339" t="s">
        <v>382</v>
      </c>
      <c r="B339" s="1">
        <v>45612</v>
      </c>
      <c r="C339" t="s">
        <v>35</v>
      </c>
      <c r="D339" t="s">
        <v>44</v>
      </c>
      <c r="E339" t="s">
        <v>45</v>
      </c>
      <c r="F339" t="s">
        <v>33</v>
      </c>
      <c r="G339">
        <v>7350000</v>
      </c>
      <c r="H339">
        <v>7350000</v>
      </c>
      <c r="I339" t="s">
        <v>20</v>
      </c>
      <c r="J339" s="1">
        <v>46174</v>
      </c>
      <c r="K339">
        <v>9000000</v>
      </c>
      <c r="L339" t="s">
        <v>52</v>
      </c>
    </row>
    <row r="340" spans="1:12" x14ac:dyDescent="0.3">
      <c r="A340" t="s">
        <v>383</v>
      </c>
      <c r="B340" s="1">
        <v>45504</v>
      </c>
      <c r="C340" t="s">
        <v>31</v>
      </c>
      <c r="D340" t="s">
        <v>23</v>
      </c>
      <c r="E340" t="s">
        <v>24</v>
      </c>
      <c r="F340" t="s">
        <v>33</v>
      </c>
      <c r="G340">
        <v>8600000</v>
      </c>
      <c r="H340">
        <v>8600000</v>
      </c>
      <c r="I340" t="s">
        <v>20</v>
      </c>
      <c r="J340" s="1">
        <v>45852</v>
      </c>
      <c r="K340">
        <v>7500000</v>
      </c>
      <c r="L340" t="s">
        <v>18</v>
      </c>
    </row>
    <row r="341" spans="1:12" x14ac:dyDescent="0.3">
      <c r="A341" t="s">
        <v>384</v>
      </c>
      <c r="B341" s="1">
        <v>45293</v>
      </c>
      <c r="C341" t="s">
        <v>13</v>
      </c>
      <c r="D341" t="s">
        <v>23</v>
      </c>
      <c r="E341" t="s">
        <v>24</v>
      </c>
      <c r="F341" t="s">
        <v>16</v>
      </c>
      <c r="G341">
        <v>4900000</v>
      </c>
      <c r="H341">
        <v>0</v>
      </c>
      <c r="I341" t="s">
        <v>17</v>
      </c>
      <c r="J341" s="1">
        <v>46042</v>
      </c>
      <c r="K341">
        <v>8500000</v>
      </c>
    </row>
    <row r="342" spans="1:12" x14ac:dyDescent="0.3">
      <c r="A342" t="s">
        <v>385</v>
      </c>
      <c r="B342" s="1">
        <v>45647</v>
      </c>
      <c r="C342" t="s">
        <v>13</v>
      </c>
      <c r="D342" t="s">
        <v>23</v>
      </c>
      <c r="E342" t="s">
        <v>24</v>
      </c>
      <c r="F342" t="s">
        <v>51</v>
      </c>
      <c r="G342">
        <v>9800000</v>
      </c>
      <c r="H342">
        <v>1250000</v>
      </c>
      <c r="I342" t="s">
        <v>26</v>
      </c>
      <c r="J342" s="1">
        <v>46085</v>
      </c>
      <c r="K342">
        <v>8500000</v>
      </c>
      <c r="L342" t="s">
        <v>40</v>
      </c>
    </row>
    <row r="343" spans="1:12" x14ac:dyDescent="0.3">
      <c r="A343" t="s">
        <v>386</v>
      </c>
      <c r="B343" s="1">
        <v>45544</v>
      </c>
      <c r="C343" t="s">
        <v>99</v>
      </c>
      <c r="D343" t="s">
        <v>14</v>
      </c>
      <c r="E343" t="s">
        <v>15</v>
      </c>
      <c r="F343" t="s">
        <v>16</v>
      </c>
      <c r="G343">
        <v>5550000</v>
      </c>
      <c r="H343">
        <v>5550000</v>
      </c>
      <c r="I343" t="s">
        <v>20</v>
      </c>
      <c r="J343" s="1">
        <v>46342</v>
      </c>
      <c r="K343">
        <v>8500000</v>
      </c>
      <c r="L343" t="s">
        <v>18</v>
      </c>
    </row>
    <row r="344" spans="1:12" x14ac:dyDescent="0.3">
      <c r="A344" t="s">
        <v>387</v>
      </c>
      <c r="B344" s="1">
        <v>45338</v>
      </c>
      <c r="C344" t="s">
        <v>22</v>
      </c>
      <c r="D344" t="s">
        <v>14</v>
      </c>
      <c r="E344" t="s">
        <v>15</v>
      </c>
      <c r="F344" t="s">
        <v>25</v>
      </c>
      <c r="G344">
        <v>3050000</v>
      </c>
      <c r="H344">
        <v>300000</v>
      </c>
      <c r="I344" t="s">
        <v>26</v>
      </c>
      <c r="J344" s="1">
        <v>46146</v>
      </c>
      <c r="K344">
        <v>8000000</v>
      </c>
      <c r="L344" t="s">
        <v>29</v>
      </c>
    </row>
    <row r="345" spans="1:12" x14ac:dyDescent="0.3">
      <c r="A345" t="s">
        <v>388</v>
      </c>
      <c r="B345" s="1">
        <v>45640</v>
      </c>
      <c r="C345" t="s">
        <v>22</v>
      </c>
      <c r="D345" t="s">
        <v>44</v>
      </c>
      <c r="E345" t="s">
        <v>45</v>
      </c>
      <c r="F345" t="s">
        <v>51</v>
      </c>
      <c r="G345">
        <v>11750000</v>
      </c>
      <c r="H345">
        <v>0</v>
      </c>
      <c r="I345" t="s">
        <v>17</v>
      </c>
      <c r="J345" s="1">
        <v>46168</v>
      </c>
      <c r="K345">
        <v>8000000</v>
      </c>
      <c r="L345" t="s">
        <v>38</v>
      </c>
    </row>
    <row r="346" spans="1:12" x14ac:dyDescent="0.3">
      <c r="A346" t="s">
        <v>389</v>
      </c>
      <c r="B346" s="1">
        <v>45421</v>
      </c>
      <c r="C346" t="s">
        <v>35</v>
      </c>
      <c r="D346" t="s">
        <v>23</v>
      </c>
      <c r="E346" t="s">
        <v>24</v>
      </c>
      <c r="F346" t="s">
        <v>25</v>
      </c>
      <c r="G346">
        <v>2900000</v>
      </c>
      <c r="H346">
        <v>700000</v>
      </c>
      <c r="I346" t="s">
        <v>26</v>
      </c>
      <c r="J346" s="1">
        <v>45850</v>
      </c>
      <c r="K346">
        <v>9000000</v>
      </c>
      <c r="L346" t="s">
        <v>29</v>
      </c>
    </row>
    <row r="347" spans="1:12" x14ac:dyDescent="0.3">
      <c r="A347" t="s">
        <v>390</v>
      </c>
      <c r="B347" s="1">
        <v>45371</v>
      </c>
      <c r="C347" t="s">
        <v>35</v>
      </c>
      <c r="D347" t="s">
        <v>14</v>
      </c>
      <c r="E347" t="s">
        <v>15</v>
      </c>
      <c r="F347" t="s">
        <v>25</v>
      </c>
      <c r="G347">
        <v>3350000</v>
      </c>
      <c r="H347">
        <v>0</v>
      </c>
      <c r="I347" t="s">
        <v>17</v>
      </c>
      <c r="J347" s="1">
        <v>45980</v>
      </c>
      <c r="K347">
        <v>9000000</v>
      </c>
      <c r="L347" t="s">
        <v>42</v>
      </c>
    </row>
    <row r="348" spans="1:12" x14ac:dyDescent="0.3">
      <c r="A348" t="s">
        <v>391</v>
      </c>
      <c r="B348" s="1">
        <v>45317</v>
      </c>
      <c r="C348" t="s">
        <v>35</v>
      </c>
      <c r="D348" t="s">
        <v>14</v>
      </c>
      <c r="E348" t="s">
        <v>15</v>
      </c>
      <c r="F348" t="s">
        <v>16</v>
      </c>
      <c r="G348">
        <v>4700000</v>
      </c>
      <c r="H348">
        <v>4700000</v>
      </c>
      <c r="I348" t="s">
        <v>20</v>
      </c>
      <c r="J348" s="1">
        <v>45885</v>
      </c>
      <c r="K348">
        <v>9000000</v>
      </c>
      <c r="L348" t="s">
        <v>18</v>
      </c>
    </row>
    <row r="349" spans="1:12" x14ac:dyDescent="0.3">
      <c r="A349" t="s">
        <v>392</v>
      </c>
      <c r="B349" s="1">
        <v>45473</v>
      </c>
      <c r="C349" t="s">
        <v>31</v>
      </c>
      <c r="D349" t="s">
        <v>23</v>
      </c>
      <c r="E349" t="s">
        <v>24</v>
      </c>
      <c r="F349" t="s">
        <v>51</v>
      </c>
      <c r="G349">
        <v>12500000</v>
      </c>
      <c r="H349">
        <v>1350000</v>
      </c>
      <c r="I349" t="s">
        <v>26</v>
      </c>
      <c r="J349" s="1">
        <v>46370</v>
      </c>
      <c r="K349">
        <v>7500000</v>
      </c>
      <c r="L349" t="s">
        <v>40</v>
      </c>
    </row>
    <row r="350" spans="1:12" x14ac:dyDescent="0.3">
      <c r="A350" t="s">
        <v>393</v>
      </c>
      <c r="B350" s="1">
        <v>45331</v>
      </c>
      <c r="C350" t="s">
        <v>28</v>
      </c>
      <c r="D350" t="s">
        <v>14</v>
      </c>
      <c r="E350" t="s">
        <v>15</v>
      </c>
      <c r="F350" t="s">
        <v>33</v>
      </c>
      <c r="G350">
        <v>8750000</v>
      </c>
      <c r="H350">
        <v>8750000</v>
      </c>
      <c r="I350" t="s">
        <v>20</v>
      </c>
      <c r="J350" s="1">
        <v>45679</v>
      </c>
      <c r="K350">
        <v>7000000</v>
      </c>
      <c r="L350" t="s">
        <v>40</v>
      </c>
    </row>
    <row r="351" spans="1:12" x14ac:dyDescent="0.3">
      <c r="A351" t="s">
        <v>394</v>
      </c>
      <c r="B351" s="1">
        <v>45413</v>
      </c>
      <c r="C351" t="s">
        <v>13</v>
      </c>
      <c r="D351" t="s">
        <v>14</v>
      </c>
      <c r="E351" t="s">
        <v>15</v>
      </c>
      <c r="F351" t="s">
        <v>16</v>
      </c>
      <c r="G351">
        <v>5500000</v>
      </c>
      <c r="H351">
        <v>5500000</v>
      </c>
      <c r="I351" t="s">
        <v>20</v>
      </c>
      <c r="J351" s="1">
        <v>45688</v>
      </c>
      <c r="K351">
        <v>8500000</v>
      </c>
      <c r="L351" t="s">
        <v>42</v>
      </c>
    </row>
    <row r="352" spans="1:12" x14ac:dyDescent="0.3">
      <c r="A352" t="s">
        <v>395</v>
      </c>
      <c r="B352" s="1">
        <v>45609</v>
      </c>
      <c r="C352" t="s">
        <v>22</v>
      </c>
      <c r="D352" t="s">
        <v>23</v>
      </c>
      <c r="E352" t="s">
        <v>24</v>
      </c>
      <c r="F352" t="s">
        <v>16</v>
      </c>
      <c r="G352">
        <v>4450000</v>
      </c>
      <c r="H352">
        <v>0</v>
      </c>
      <c r="I352" t="s">
        <v>17</v>
      </c>
      <c r="J352" s="1">
        <v>46110</v>
      </c>
      <c r="K352">
        <v>8000000</v>
      </c>
      <c r="L352" t="s">
        <v>29</v>
      </c>
    </row>
    <row r="353" spans="1:12" x14ac:dyDescent="0.3">
      <c r="A353" t="s">
        <v>396</v>
      </c>
      <c r="B353" s="1">
        <v>45576</v>
      </c>
      <c r="C353" t="s">
        <v>22</v>
      </c>
      <c r="D353" t="s">
        <v>14</v>
      </c>
      <c r="E353" t="s">
        <v>15</v>
      </c>
      <c r="F353" t="s">
        <v>25</v>
      </c>
      <c r="G353">
        <v>2750000</v>
      </c>
      <c r="H353">
        <v>0</v>
      </c>
      <c r="I353" t="s">
        <v>17</v>
      </c>
      <c r="J353" s="1">
        <v>46172</v>
      </c>
      <c r="K353">
        <v>8000000</v>
      </c>
    </row>
    <row r="354" spans="1:12" x14ac:dyDescent="0.3">
      <c r="A354" t="s">
        <v>397</v>
      </c>
      <c r="B354" s="1">
        <v>45315</v>
      </c>
      <c r="C354" t="s">
        <v>13</v>
      </c>
      <c r="D354" t="s">
        <v>14</v>
      </c>
      <c r="E354" t="s">
        <v>15</v>
      </c>
      <c r="F354" t="s">
        <v>33</v>
      </c>
      <c r="G354">
        <v>6750000</v>
      </c>
      <c r="H354">
        <v>6750000</v>
      </c>
      <c r="I354" t="s">
        <v>20</v>
      </c>
      <c r="J354" s="1">
        <v>45978</v>
      </c>
      <c r="K354">
        <v>8500000</v>
      </c>
      <c r="L354" t="s">
        <v>42</v>
      </c>
    </row>
    <row r="355" spans="1:12" x14ac:dyDescent="0.3">
      <c r="A355" t="s">
        <v>398</v>
      </c>
      <c r="B355" s="1">
        <v>45377</v>
      </c>
      <c r="C355" t="s">
        <v>13</v>
      </c>
      <c r="D355" t="s">
        <v>14</v>
      </c>
      <c r="E355" t="s">
        <v>15</v>
      </c>
      <c r="F355" t="s">
        <v>51</v>
      </c>
      <c r="G355">
        <v>12850000</v>
      </c>
      <c r="H355">
        <v>12850000</v>
      </c>
      <c r="I355" t="s">
        <v>20</v>
      </c>
      <c r="J355" s="1">
        <v>45725</v>
      </c>
      <c r="K355">
        <v>8500000</v>
      </c>
    </row>
    <row r="356" spans="1:12" x14ac:dyDescent="0.3">
      <c r="A356" t="s">
        <v>399</v>
      </c>
      <c r="B356" s="1">
        <v>45508</v>
      </c>
      <c r="C356" t="s">
        <v>22</v>
      </c>
      <c r="D356" t="s">
        <v>14</v>
      </c>
      <c r="E356" t="s">
        <v>15</v>
      </c>
      <c r="F356" t="s">
        <v>16</v>
      </c>
      <c r="G356">
        <v>4250000</v>
      </c>
      <c r="H356">
        <v>4250000</v>
      </c>
      <c r="I356" t="s">
        <v>20</v>
      </c>
      <c r="J356" s="1">
        <v>45932</v>
      </c>
      <c r="K356">
        <v>8000000</v>
      </c>
    </row>
    <row r="357" spans="1:12" x14ac:dyDescent="0.3">
      <c r="A357" t="s">
        <v>400</v>
      </c>
      <c r="B357" s="1">
        <v>45438</v>
      </c>
      <c r="C357" t="s">
        <v>99</v>
      </c>
      <c r="D357" t="s">
        <v>14</v>
      </c>
      <c r="E357" t="s">
        <v>15</v>
      </c>
      <c r="F357" t="s">
        <v>51</v>
      </c>
      <c r="G357">
        <v>13050000</v>
      </c>
      <c r="H357">
        <v>13050000</v>
      </c>
      <c r="I357" t="s">
        <v>20</v>
      </c>
      <c r="J357" s="1">
        <v>46009</v>
      </c>
      <c r="K357">
        <v>8500000</v>
      </c>
    </row>
    <row r="358" spans="1:12" x14ac:dyDescent="0.3">
      <c r="A358" t="s">
        <v>401</v>
      </c>
      <c r="B358" s="1">
        <v>45485</v>
      </c>
      <c r="C358" t="s">
        <v>35</v>
      </c>
      <c r="D358" t="s">
        <v>23</v>
      </c>
      <c r="E358" t="s">
        <v>24</v>
      </c>
      <c r="F358" t="s">
        <v>16</v>
      </c>
      <c r="G358">
        <v>4350000</v>
      </c>
      <c r="H358">
        <v>0</v>
      </c>
      <c r="I358" t="s">
        <v>17</v>
      </c>
      <c r="J358" s="1">
        <v>45666</v>
      </c>
      <c r="K358">
        <v>9000000</v>
      </c>
    </row>
    <row r="359" spans="1:12" x14ac:dyDescent="0.3">
      <c r="A359" t="s">
        <v>402</v>
      </c>
      <c r="B359" s="1">
        <v>45419</v>
      </c>
      <c r="C359" t="s">
        <v>22</v>
      </c>
      <c r="D359" t="s">
        <v>14</v>
      </c>
      <c r="E359" t="s">
        <v>15</v>
      </c>
      <c r="F359" t="s">
        <v>16</v>
      </c>
      <c r="G359">
        <v>5100000</v>
      </c>
      <c r="H359">
        <v>1900000</v>
      </c>
      <c r="I359" t="s">
        <v>26</v>
      </c>
      <c r="J359" s="1">
        <v>45719</v>
      </c>
      <c r="K359">
        <v>8000000</v>
      </c>
      <c r="L359" t="s">
        <v>18</v>
      </c>
    </row>
    <row r="360" spans="1:12" x14ac:dyDescent="0.3">
      <c r="A360" t="s">
        <v>403</v>
      </c>
      <c r="B360" s="1">
        <v>45653</v>
      </c>
      <c r="C360" t="s">
        <v>404</v>
      </c>
      <c r="D360" t="s">
        <v>23</v>
      </c>
      <c r="E360" t="s">
        <v>24</v>
      </c>
      <c r="F360" t="s">
        <v>16</v>
      </c>
      <c r="G360">
        <v>4500000</v>
      </c>
      <c r="H360">
        <v>1200000</v>
      </c>
      <c r="I360" t="s">
        <v>26</v>
      </c>
      <c r="J360" s="1">
        <v>46225</v>
      </c>
      <c r="K360">
        <v>9000000</v>
      </c>
      <c r="L360" t="s">
        <v>29</v>
      </c>
    </row>
    <row r="361" spans="1:12" x14ac:dyDescent="0.3">
      <c r="A361" t="s">
        <v>405</v>
      </c>
      <c r="B361" s="1">
        <v>45431</v>
      </c>
      <c r="C361" t="s">
        <v>28</v>
      </c>
      <c r="D361" t="s">
        <v>14</v>
      </c>
      <c r="E361" t="s">
        <v>15</v>
      </c>
      <c r="F361" t="s">
        <v>16</v>
      </c>
      <c r="G361">
        <v>4950000</v>
      </c>
      <c r="H361">
        <v>1050000</v>
      </c>
      <c r="I361" t="s">
        <v>26</v>
      </c>
      <c r="J361" s="1">
        <v>46122</v>
      </c>
      <c r="K361">
        <v>7000000</v>
      </c>
      <c r="L361" t="s">
        <v>52</v>
      </c>
    </row>
    <row r="362" spans="1:12" x14ac:dyDescent="0.3">
      <c r="A362" t="s">
        <v>406</v>
      </c>
      <c r="B362" s="1">
        <v>45428</v>
      </c>
      <c r="C362" t="s">
        <v>31</v>
      </c>
      <c r="D362" t="s">
        <v>14</v>
      </c>
      <c r="E362" t="s">
        <v>15</v>
      </c>
      <c r="F362" t="s">
        <v>51</v>
      </c>
      <c r="G362">
        <v>12100000</v>
      </c>
      <c r="H362">
        <v>3950000</v>
      </c>
      <c r="I362" t="s">
        <v>26</v>
      </c>
      <c r="J362" s="1">
        <v>46190</v>
      </c>
      <c r="K362">
        <v>7500000</v>
      </c>
      <c r="L362" t="s">
        <v>18</v>
      </c>
    </row>
    <row r="363" spans="1:12" x14ac:dyDescent="0.3">
      <c r="A363" t="s">
        <v>407</v>
      </c>
      <c r="B363" s="1">
        <v>45373</v>
      </c>
      <c r="C363" t="s">
        <v>22</v>
      </c>
      <c r="D363" t="s">
        <v>14</v>
      </c>
      <c r="E363" t="s">
        <v>15</v>
      </c>
      <c r="F363" t="s">
        <v>51</v>
      </c>
      <c r="G363">
        <v>13450000</v>
      </c>
      <c r="H363">
        <v>13450000</v>
      </c>
      <c r="I363" t="s">
        <v>20</v>
      </c>
      <c r="J363" s="1">
        <v>45757</v>
      </c>
      <c r="K363">
        <v>8000000</v>
      </c>
    </row>
    <row r="364" spans="1:12" x14ac:dyDescent="0.3">
      <c r="A364" t="s">
        <v>408</v>
      </c>
      <c r="B364" s="1">
        <v>45490</v>
      </c>
      <c r="C364" t="s">
        <v>13</v>
      </c>
      <c r="D364" t="s">
        <v>23</v>
      </c>
      <c r="E364" t="s">
        <v>24</v>
      </c>
      <c r="F364" t="s">
        <v>16</v>
      </c>
      <c r="G364">
        <v>4400000</v>
      </c>
      <c r="H364">
        <v>1300000</v>
      </c>
      <c r="I364" t="s">
        <v>26</v>
      </c>
      <c r="J364" s="1">
        <v>46380</v>
      </c>
      <c r="K364">
        <v>8500000</v>
      </c>
      <c r="L364" t="s">
        <v>52</v>
      </c>
    </row>
    <row r="365" spans="1:12" x14ac:dyDescent="0.3">
      <c r="A365" t="s">
        <v>409</v>
      </c>
      <c r="B365" s="1">
        <v>45361</v>
      </c>
      <c r="C365" t="s">
        <v>35</v>
      </c>
      <c r="D365" t="s">
        <v>23</v>
      </c>
      <c r="E365" t="s">
        <v>24</v>
      </c>
      <c r="F365" t="s">
        <v>16</v>
      </c>
      <c r="G365">
        <v>5750000</v>
      </c>
      <c r="H365">
        <v>1250000</v>
      </c>
      <c r="I365" t="s">
        <v>26</v>
      </c>
      <c r="J365" s="1">
        <v>45878</v>
      </c>
      <c r="K365">
        <v>9000000</v>
      </c>
    </row>
    <row r="366" spans="1:12" x14ac:dyDescent="0.3">
      <c r="A366" t="s">
        <v>410</v>
      </c>
      <c r="B366" s="1">
        <v>45476</v>
      </c>
      <c r="C366" t="s">
        <v>28</v>
      </c>
      <c r="D366" t="s">
        <v>23</v>
      </c>
      <c r="E366" t="s">
        <v>24</v>
      </c>
      <c r="F366" t="s">
        <v>51</v>
      </c>
      <c r="G366">
        <v>10600000</v>
      </c>
      <c r="H366">
        <v>3850000</v>
      </c>
      <c r="I366" t="s">
        <v>26</v>
      </c>
      <c r="J366" s="1">
        <v>45723</v>
      </c>
      <c r="K366">
        <v>7000000</v>
      </c>
      <c r="L366" t="s">
        <v>18</v>
      </c>
    </row>
    <row r="367" spans="1:12" x14ac:dyDescent="0.3">
      <c r="A367" t="s">
        <v>411</v>
      </c>
      <c r="B367" s="1">
        <v>45402</v>
      </c>
      <c r="C367" t="s">
        <v>35</v>
      </c>
      <c r="D367" t="s">
        <v>14</v>
      </c>
      <c r="E367" t="s">
        <v>15</v>
      </c>
      <c r="F367" t="s">
        <v>16</v>
      </c>
      <c r="G367">
        <v>4850000</v>
      </c>
      <c r="H367">
        <v>550000</v>
      </c>
      <c r="I367" t="s">
        <v>26</v>
      </c>
      <c r="J367" s="1">
        <v>45888</v>
      </c>
      <c r="K367">
        <v>9000000</v>
      </c>
      <c r="L367" t="s">
        <v>18</v>
      </c>
    </row>
    <row r="368" spans="1:12" x14ac:dyDescent="0.3">
      <c r="A368" t="s">
        <v>412</v>
      </c>
      <c r="B368" s="1">
        <v>45593</v>
      </c>
      <c r="C368" t="s">
        <v>13</v>
      </c>
      <c r="D368" t="s">
        <v>23</v>
      </c>
      <c r="E368" t="s">
        <v>24</v>
      </c>
      <c r="F368" t="s">
        <v>51</v>
      </c>
      <c r="G368">
        <v>12100000</v>
      </c>
      <c r="H368">
        <v>0</v>
      </c>
      <c r="I368" t="s">
        <v>17</v>
      </c>
      <c r="J368" s="1">
        <v>46120</v>
      </c>
      <c r="K368">
        <v>8500000</v>
      </c>
      <c r="L368" t="s">
        <v>29</v>
      </c>
    </row>
    <row r="369" spans="1:12" x14ac:dyDescent="0.3">
      <c r="A369" t="s">
        <v>413</v>
      </c>
      <c r="B369" s="1">
        <v>45555</v>
      </c>
      <c r="C369" t="s">
        <v>13</v>
      </c>
      <c r="D369" t="s">
        <v>23</v>
      </c>
      <c r="E369" t="s">
        <v>24</v>
      </c>
      <c r="F369" t="s">
        <v>16</v>
      </c>
      <c r="G369">
        <v>4050000</v>
      </c>
      <c r="H369">
        <v>4050000</v>
      </c>
      <c r="I369" t="s">
        <v>20</v>
      </c>
      <c r="J369" s="1">
        <v>46137</v>
      </c>
      <c r="K369">
        <v>8500000</v>
      </c>
    </row>
    <row r="370" spans="1:12" x14ac:dyDescent="0.3">
      <c r="A370" t="s">
        <v>414</v>
      </c>
      <c r="B370" s="1">
        <v>45305</v>
      </c>
      <c r="C370" t="s">
        <v>28</v>
      </c>
      <c r="D370" t="s">
        <v>44</v>
      </c>
      <c r="E370" t="s">
        <v>45</v>
      </c>
      <c r="F370" t="s">
        <v>16</v>
      </c>
      <c r="G370">
        <v>4050000</v>
      </c>
      <c r="H370">
        <v>4050000</v>
      </c>
      <c r="I370" t="s">
        <v>20</v>
      </c>
      <c r="J370" s="1">
        <v>45764</v>
      </c>
      <c r="K370">
        <v>7000000</v>
      </c>
      <c r="L370" t="s">
        <v>18</v>
      </c>
    </row>
    <row r="371" spans="1:12" x14ac:dyDescent="0.3">
      <c r="A371" t="s">
        <v>415</v>
      </c>
      <c r="B371" s="1">
        <v>45305</v>
      </c>
      <c r="C371" t="s">
        <v>13</v>
      </c>
      <c r="D371" t="s">
        <v>14</v>
      </c>
      <c r="E371" t="s">
        <v>15</v>
      </c>
      <c r="F371" t="s">
        <v>25</v>
      </c>
      <c r="G371">
        <v>3150000</v>
      </c>
      <c r="H371">
        <v>450000</v>
      </c>
      <c r="I371" t="s">
        <v>26</v>
      </c>
      <c r="J371" s="1">
        <v>45957</v>
      </c>
      <c r="K371">
        <v>8500000</v>
      </c>
      <c r="L371" t="s">
        <v>52</v>
      </c>
    </row>
    <row r="372" spans="1:12" x14ac:dyDescent="0.3">
      <c r="A372" t="s">
        <v>416</v>
      </c>
      <c r="B372" s="1">
        <v>45460</v>
      </c>
      <c r="C372" t="s">
        <v>28</v>
      </c>
      <c r="D372" t="s">
        <v>23</v>
      </c>
      <c r="E372" t="s">
        <v>24</v>
      </c>
      <c r="F372" t="s">
        <v>33</v>
      </c>
      <c r="G372">
        <v>8550000</v>
      </c>
      <c r="H372">
        <v>950000</v>
      </c>
      <c r="I372" t="s">
        <v>26</v>
      </c>
      <c r="J372" s="1">
        <v>45710</v>
      </c>
      <c r="K372">
        <v>7000000</v>
      </c>
      <c r="L372" t="s">
        <v>29</v>
      </c>
    </row>
    <row r="373" spans="1:12" x14ac:dyDescent="0.3">
      <c r="A373" t="s">
        <v>417</v>
      </c>
      <c r="B373" s="1">
        <v>45422</v>
      </c>
      <c r="C373" t="s">
        <v>22</v>
      </c>
      <c r="D373" t="s">
        <v>14</v>
      </c>
      <c r="E373" t="s">
        <v>15</v>
      </c>
      <c r="F373" t="s">
        <v>33</v>
      </c>
      <c r="G373">
        <v>8750000</v>
      </c>
      <c r="H373">
        <v>0</v>
      </c>
      <c r="I373" t="s">
        <v>17</v>
      </c>
      <c r="J373" s="1">
        <v>46288</v>
      </c>
      <c r="K373">
        <v>8000000</v>
      </c>
      <c r="L373" t="s">
        <v>29</v>
      </c>
    </row>
    <row r="374" spans="1:12" x14ac:dyDescent="0.3">
      <c r="A374" t="s">
        <v>418</v>
      </c>
      <c r="B374" s="1">
        <v>45511</v>
      </c>
      <c r="C374" t="s">
        <v>22</v>
      </c>
      <c r="D374" t="s">
        <v>14</v>
      </c>
      <c r="E374" t="s">
        <v>15</v>
      </c>
      <c r="F374" t="s">
        <v>16</v>
      </c>
      <c r="G374">
        <v>5000000</v>
      </c>
      <c r="H374">
        <v>5000000</v>
      </c>
      <c r="I374" t="s">
        <v>20</v>
      </c>
      <c r="J374" s="1">
        <v>45826</v>
      </c>
      <c r="K374">
        <v>8000000</v>
      </c>
      <c r="L374" t="s">
        <v>29</v>
      </c>
    </row>
    <row r="375" spans="1:12" x14ac:dyDescent="0.3">
      <c r="A375" t="s">
        <v>419</v>
      </c>
      <c r="B375" s="1">
        <v>45363</v>
      </c>
      <c r="C375" t="s">
        <v>31</v>
      </c>
      <c r="D375" t="s">
        <v>14</v>
      </c>
      <c r="E375" t="s">
        <v>15</v>
      </c>
      <c r="F375" t="s">
        <v>16</v>
      </c>
      <c r="G375">
        <v>5150000</v>
      </c>
      <c r="H375">
        <v>1450000</v>
      </c>
      <c r="I375" t="s">
        <v>26</v>
      </c>
      <c r="J375" s="1">
        <v>46165</v>
      </c>
      <c r="K375">
        <v>7500000</v>
      </c>
      <c r="L375" t="s">
        <v>18</v>
      </c>
    </row>
    <row r="376" spans="1:12" x14ac:dyDescent="0.3">
      <c r="A376" t="s">
        <v>420</v>
      </c>
      <c r="B376" s="1">
        <v>45461</v>
      </c>
      <c r="C376" t="s">
        <v>31</v>
      </c>
      <c r="D376" t="s">
        <v>44</v>
      </c>
      <c r="E376" t="s">
        <v>45</v>
      </c>
      <c r="F376" t="s">
        <v>16</v>
      </c>
      <c r="G376">
        <v>5500000</v>
      </c>
      <c r="H376">
        <v>5500000</v>
      </c>
      <c r="I376" t="s">
        <v>20</v>
      </c>
      <c r="J376" s="1">
        <v>45655</v>
      </c>
      <c r="K376">
        <v>7500000</v>
      </c>
      <c r="L376" t="s">
        <v>40</v>
      </c>
    </row>
    <row r="377" spans="1:12" x14ac:dyDescent="0.3">
      <c r="A377" t="s">
        <v>421</v>
      </c>
      <c r="B377" s="1">
        <v>45446</v>
      </c>
      <c r="C377" t="s">
        <v>13</v>
      </c>
      <c r="D377" t="s">
        <v>14</v>
      </c>
      <c r="E377" t="s">
        <v>15</v>
      </c>
      <c r="F377" t="s">
        <v>25</v>
      </c>
      <c r="G377">
        <v>3000000</v>
      </c>
      <c r="H377">
        <v>700000</v>
      </c>
      <c r="I377" t="s">
        <v>26</v>
      </c>
      <c r="J377" s="1">
        <v>45736</v>
      </c>
      <c r="K377">
        <v>8500000</v>
      </c>
    </row>
    <row r="378" spans="1:12" x14ac:dyDescent="0.3">
      <c r="A378" t="s">
        <v>422</v>
      </c>
      <c r="B378" s="1">
        <v>45598</v>
      </c>
      <c r="C378" t="s">
        <v>22</v>
      </c>
      <c r="D378" t="s">
        <v>23</v>
      </c>
      <c r="E378" t="s">
        <v>24</v>
      </c>
      <c r="F378" t="s">
        <v>16</v>
      </c>
      <c r="G378">
        <v>5600000</v>
      </c>
      <c r="H378">
        <v>5600000</v>
      </c>
      <c r="I378" t="s">
        <v>20</v>
      </c>
      <c r="J378" s="1">
        <v>46039</v>
      </c>
      <c r="K378">
        <v>8000000</v>
      </c>
      <c r="L378" t="s">
        <v>18</v>
      </c>
    </row>
    <row r="379" spans="1:12" x14ac:dyDescent="0.3">
      <c r="A379" t="s">
        <v>423</v>
      </c>
      <c r="B379" s="1">
        <v>45338</v>
      </c>
      <c r="C379" t="s">
        <v>28</v>
      </c>
      <c r="D379" t="s">
        <v>23</v>
      </c>
      <c r="E379" t="s">
        <v>24</v>
      </c>
      <c r="F379" t="s">
        <v>16</v>
      </c>
      <c r="G379">
        <v>4700000</v>
      </c>
      <c r="H379">
        <v>4700000</v>
      </c>
      <c r="I379" t="s">
        <v>20</v>
      </c>
      <c r="J379" s="1">
        <v>45896</v>
      </c>
      <c r="K379">
        <v>7000000</v>
      </c>
      <c r="L379" t="s">
        <v>18</v>
      </c>
    </row>
    <row r="380" spans="1:12" x14ac:dyDescent="0.3">
      <c r="A380" t="s">
        <v>424</v>
      </c>
      <c r="B380" s="1">
        <v>45467</v>
      </c>
      <c r="C380" t="s">
        <v>22</v>
      </c>
      <c r="D380" t="s">
        <v>14</v>
      </c>
      <c r="E380" t="s">
        <v>15</v>
      </c>
      <c r="F380" t="s">
        <v>25</v>
      </c>
      <c r="G380">
        <v>2750000</v>
      </c>
      <c r="H380">
        <v>0</v>
      </c>
      <c r="I380" t="s">
        <v>17</v>
      </c>
      <c r="J380" s="1">
        <v>46095</v>
      </c>
      <c r="K380">
        <v>8000000</v>
      </c>
    </row>
    <row r="381" spans="1:12" x14ac:dyDescent="0.3">
      <c r="A381" t="s">
        <v>425</v>
      </c>
      <c r="B381" s="1">
        <v>45429</v>
      </c>
      <c r="C381" t="s">
        <v>22</v>
      </c>
      <c r="D381" t="s">
        <v>23</v>
      </c>
      <c r="E381" t="s">
        <v>24</v>
      </c>
      <c r="F381" t="s">
        <v>16</v>
      </c>
      <c r="G381">
        <v>5350000</v>
      </c>
      <c r="H381">
        <v>1150000</v>
      </c>
      <c r="I381" t="s">
        <v>26</v>
      </c>
      <c r="J381" s="1">
        <v>46267</v>
      </c>
      <c r="K381">
        <v>8000000</v>
      </c>
    </row>
    <row r="382" spans="1:12" x14ac:dyDescent="0.3">
      <c r="A382" t="s">
        <v>426</v>
      </c>
      <c r="B382" s="1">
        <v>45607</v>
      </c>
      <c r="C382" t="s">
        <v>22</v>
      </c>
      <c r="D382" t="s">
        <v>14</v>
      </c>
      <c r="E382" t="s">
        <v>15</v>
      </c>
      <c r="F382" t="s">
        <v>16</v>
      </c>
      <c r="G382">
        <v>4450000</v>
      </c>
      <c r="H382">
        <v>4450000</v>
      </c>
      <c r="I382" t="s">
        <v>20</v>
      </c>
      <c r="J382" s="1">
        <v>46348</v>
      </c>
      <c r="K382">
        <v>8000000</v>
      </c>
    </row>
    <row r="383" spans="1:12" x14ac:dyDescent="0.3">
      <c r="A383" t="s">
        <v>427</v>
      </c>
      <c r="B383" s="1">
        <v>45524</v>
      </c>
      <c r="C383" t="s">
        <v>22</v>
      </c>
      <c r="D383" t="s">
        <v>44</v>
      </c>
      <c r="E383" t="s">
        <v>45</v>
      </c>
      <c r="F383" t="s">
        <v>33</v>
      </c>
      <c r="G383">
        <v>6600000</v>
      </c>
      <c r="H383">
        <v>6600000</v>
      </c>
      <c r="I383" t="s">
        <v>20</v>
      </c>
      <c r="J383" s="1">
        <v>46045</v>
      </c>
      <c r="K383">
        <v>8000000</v>
      </c>
      <c r="L383" t="s">
        <v>29</v>
      </c>
    </row>
    <row r="384" spans="1:12" x14ac:dyDescent="0.3">
      <c r="A384" t="s">
        <v>428</v>
      </c>
      <c r="B384" s="1">
        <v>45468</v>
      </c>
      <c r="C384" t="s">
        <v>31</v>
      </c>
      <c r="D384" t="s">
        <v>23</v>
      </c>
      <c r="E384" t="s">
        <v>24</v>
      </c>
      <c r="F384" t="s">
        <v>33</v>
      </c>
      <c r="G384">
        <v>6850000</v>
      </c>
      <c r="H384">
        <v>6850000</v>
      </c>
      <c r="I384" t="s">
        <v>20</v>
      </c>
      <c r="J384" s="1">
        <v>46100</v>
      </c>
      <c r="K384">
        <v>7500000</v>
      </c>
      <c r="L384" t="s">
        <v>18</v>
      </c>
    </row>
    <row r="385" spans="1:12" x14ac:dyDescent="0.3">
      <c r="A385" t="s">
        <v>429</v>
      </c>
      <c r="B385" s="1">
        <v>45522</v>
      </c>
      <c r="C385" t="s">
        <v>13</v>
      </c>
      <c r="D385" t="s">
        <v>14</v>
      </c>
      <c r="E385" t="s">
        <v>15</v>
      </c>
      <c r="F385" t="s">
        <v>33</v>
      </c>
      <c r="G385">
        <v>8000000</v>
      </c>
      <c r="H385">
        <v>8000000</v>
      </c>
      <c r="I385" t="s">
        <v>20</v>
      </c>
      <c r="J385" s="1">
        <v>46164</v>
      </c>
      <c r="K385">
        <v>8500000</v>
      </c>
      <c r="L385" t="s">
        <v>18</v>
      </c>
    </row>
    <row r="386" spans="1:12" x14ac:dyDescent="0.3">
      <c r="A386" t="s">
        <v>430</v>
      </c>
      <c r="B386" s="1">
        <v>45508</v>
      </c>
      <c r="C386" t="s">
        <v>13</v>
      </c>
      <c r="D386" t="s">
        <v>14</v>
      </c>
      <c r="E386" t="s">
        <v>15</v>
      </c>
      <c r="F386" t="s">
        <v>33</v>
      </c>
      <c r="G386">
        <v>6900000</v>
      </c>
      <c r="H386">
        <v>6900000</v>
      </c>
      <c r="I386" t="s">
        <v>20</v>
      </c>
      <c r="J386" s="1">
        <v>46100</v>
      </c>
      <c r="K386">
        <v>8500000</v>
      </c>
      <c r="L386" t="s">
        <v>40</v>
      </c>
    </row>
    <row r="387" spans="1:12" x14ac:dyDescent="0.3">
      <c r="A387" t="s">
        <v>431</v>
      </c>
      <c r="B387" s="1">
        <v>45527</v>
      </c>
      <c r="C387" t="s">
        <v>35</v>
      </c>
      <c r="D387" t="s">
        <v>23</v>
      </c>
      <c r="E387" t="s">
        <v>24</v>
      </c>
      <c r="F387" t="s">
        <v>16</v>
      </c>
      <c r="G387">
        <v>5400000</v>
      </c>
      <c r="H387">
        <v>800000</v>
      </c>
      <c r="I387" t="s">
        <v>26</v>
      </c>
      <c r="J387" s="1">
        <v>46159</v>
      </c>
      <c r="K387">
        <v>9000000</v>
      </c>
      <c r="L387" t="s">
        <v>40</v>
      </c>
    </row>
    <row r="388" spans="1:12" x14ac:dyDescent="0.3">
      <c r="A388" t="s">
        <v>432</v>
      </c>
      <c r="B388" s="1">
        <v>45487</v>
      </c>
      <c r="C388" t="s">
        <v>31</v>
      </c>
      <c r="D388" t="s">
        <v>14</v>
      </c>
      <c r="E388" t="s">
        <v>15</v>
      </c>
      <c r="F388" t="s">
        <v>25</v>
      </c>
      <c r="G388">
        <v>3050000</v>
      </c>
      <c r="H388">
        <v>300000</v>
      </c>
      <c r="I388" t="s">
        <v>26</v>
      </c>
      <c r="J388" s="1">
        <v>46332</v>
      </c>
      <c r="K388">
        <v>7500000</v>
      </c>
      <c r="L388" t="s">
        <v>52</v>
      </c>
    </row>
    <row r="389" spans="1:12" x14ac:dyDescent="0.3">
      <c r="A389" t="s">
        <v>433</v>
      </c>
      <c r="B389" s="1">
        <v>45594</v>
      </c>
      <c r="C389" t="s">
        <v>22</v>
      </c>
      <c r="D389" t="s">
        <v>14</v>
      </c>
      <c r="E389" t="s">
        <v>15</v>
      </c>
      <c r="F389" t="s">
        <v>16</v>
      </c>
      <c r="G389">
        <v>4950000</v>
      </c>
      <c r="H389">
        <v>550000</v>
      </c>
      <c r="I389" t="s">
        <v>26</v>
      </c>
      <c r="J389" s="1">
        <v>46151</v>
      </c>
      <c r="K389">
        <v>8000000</v>
      </c>
      <c r="L389" t="s">
        <v>18</v>
      </c>
    </row>
    <row r="390" spans="1:12" x14ac:dyDescent="0.3">
      <c r="A390" t="s">
        <v>434</v>
      </c>
      <c r="B390" s="1">
        <v>45428</v>
      </c>
      <c r="C390" t="s">
        <v>22</v>
      </c>
      <c r="D390" t="s">
        <v>14</v>
      </c>
      <c r="E390" t="s">
        <v>15</v>
      </c>
      <c r="F390" t="s">
        <v>16</v>
      </c>
      <c r="G390">
        <v>5250000</v>
      </c>
      <c r="H390">
        <v>5250000</v>
      </c>
      <c r="I390" t="s">
        <v>20</v>
      </c>
      <c r="J390" s="1">
        <v>46166</v>
      </c>
      <c r="K390">
        <v>8000000</v>
      </c>
      <c r="L390" t="s">
        <v>18</v>
      </c>
    </row>
    <row r="391" spans="1:12" x14ac:dyDescent="0.3">
      <c r="A391" t="s">
        <v>435</v>
      </c>
      <c r="B391" s="1">
        <v>45427</v>
      </c>
      <c r="C391" t="s">
        <v>404</v>
      </c>
      <c r="D391" t="s">
        <v>357</v>
      </c>
      <c r="E391" t="s">
        <v>15</v>
      </c>
      <c r="F391" t="s">
        <v>25</v>
      </c>
      <c r="G391">
        <v>2900000</v>
      </c>
      <c r="H391">
        <v>750000</v>
      </c>
      <c r="I391" t="s">
        <v>26</v>
      </c>
      <c r="J391" s="1">
        <v>46109</v>
      </c>
      <c r="K391">
        <v>9000000</v>
      </c>
      <c r="L391" t="s">
        <v>52</v>
      </c>
    </row>
    <row r="392" spans="1:12" x14ac:dyDescent="0.3">
      <c r="A392" t="s">
        <v>436</v>
      </c>
      <c r="B392" s="1">
        <v>45330</v>
      </c>
      <c r="C392" t="s">
        <v>13</v>
      </c>
      <c r="D392" t="s">
        <v>14</v>
      </c>
      <c r="E392" t="s">
        <v>15</v>
      </c>
      <c r="F392" t="s">
        <v>25</v>
      </c>
      <c r="G392">
        <v>2650000</v>
      </c>
      <c r="H392">
        <v>800000</v>
      </c>
      <c r="I392" t="s">
        <v>26</v>
      </c>
      <c r="J392" s="1">
        <v>45958</v>
      </c>
      <c r="K392">
        <v>8500000</v>
      </c>
      <c r="L392" t="s">
        <v>42</v>
      </c>
    </row>
    <row r="393" spans="1:12" x14ac:dyDescent="0.3">
      <c r="A393" t="s">
        <v>437</v>
      </c>
      <c r="B393" s="1">
        <v>45336</v>
      </c>
      <c r="C393" t="s">
        <v>22</v>
      </c>
      <c r="D393" t="s">
        <v>14</v>
      </c>
      <c r="E393" t="s">
        <v>15</v>
      </c>
      <c r="F393" t="s">
        <v>33</v>
      </c>
      <c r="G393">
        <v>8100000</v>
      </c>
      <c r="H393">
        <v>8100000</v>
      </c>
      <c r="I393" t="s">
        <v>20</v>
      </c>
      <c r="J393" s="1">
        <v>45955</v>
      </c>
      <c r="K393">
        <v>8000000</v>
      </c>
      <c r="L393" t="s">
        <v>40</v>
      </c>
    </row>
    <row r="394" spans="1:12" x14ac:dyDescent="0.3">
      <c r="A394" t="s">
        <v>438</v>
      </c>
      <c r="B394" s="1">
        <v>45644</v>
      </c>
      <c r="C394" t="s">
        <v>31</v>
      </c>
      <c r="D394" t="s">
        <v>23</v>
      </c>
      <c r="E394" t="s">
        <v>24</v>
      </c>
      <c r="F394" t="s">
        <v>16</v>
      </c>
      <c r="G394">
        <v>5850000</v>
      </c>
      <c r="H394">
        <v>5850000</v>
      </c>
      <c r="I394" t="s">
        <v>20</v>
      </c>
      <c r="J394" s="1">
        <v>45919</v>
      </c>
      <c r="K394">
        <v>7500000</v>
      </c>
      <c r="L394" t="s">
        <v>40</v>
      </c>
    </row>
    <row r="395" spans="1:12" x14ac:dyDescent="0.3">
      <c r="A395" t="s">
        <v>439</v>
      </c>
      <c r="B395" s="1">
        <v>45464</v>
      </c>
      <c r="C395" t="s">
        <v>35</v>
      </c>
      <c r="D395" t="s">
        <v>14</v>
      </c>
      <c r="E395" t="s">
        <v>15</v>
      </c>
      <c r="F395" t="s">
        <v>33</v>
      </c>
      <c r="G395">
        <v>8350000</v>
      </c>
      <c r="H395">
        <v>0</v>
      </c>
      <c r="I395" t="s">
        <v>17</v>
      </c>
      <c r="J395" s="1">
        <v>46142</v>
      </c>
      <c r="K395">
        <v>9000000</v>
      </c>
      <c r="L395" t="s">
        <v>40</v>
      </c>
    </row>
    <row r="396" spans="1:12" x14ac:dyDescent="0.3">
      <c r="A396" t="s">
        <v>440</v>
      </c>
      <c r="B396" s="1">
        <v>45590</v>
      </c>
      <c r="C396" t="s">
        <v>13</v>
      </c>
      <c r="D396" t="s">
        <v>23</v>
      </c>
      <c r="E396" t="s">
        <v>24</v>
      </c>
      <c r="F396" t="s">
        <v>33</v>
      </c>
      <c r="G396">
        <v>6650000</v>
      </c>
      <c r="H396">
        <v>6650000</v>
      </c>
      <c r="I396" t="s">
        <v>20</v>
      </c>
      <c r="J396" s="1">
        <v>46488</v>
      </c>
      <c r="K396">
        <v>8500000</v>
      </c>
    </row>
    <row r="397" spans="1:12" x14ac:dyDescent="0.3">
      <c r="A397" t="s">
        <v>441</v>
      </c>
      <c r="B397" s="1">
        <v>45530</v>
      </c>
      <c r="C397" t="s">
        <v>35</v>
      </c>
      <c r="D397" t="s">
        <v>14</v>
      </c>
      <c r="E397" t="s">
        <v>15</v>
      </c>
      <c r="F397" t="s">
        <v>33</v>
      </c>
      <c r="G397">
        <v>7000000</v>
      </c>
      <c r="H397">
        <v>7000000</v>
      </c>
      <c r="I397" t="s">
        <v>20</v>
      </c>
      <c r="J397" s="1">
        <v>46028</v>
      </c>
      <c r="K397">
        <v>9000000</v>
      </c>
      <c r="L397" t="s">
        <v>38</v>
      </c>
    </row>
    <row r="398" spans="1:12" x14ac:dyDescent="0.3">
      <c r="A398" t="s">
        <v>442</v>
      </c>
      <c r="B398" s="1">
        <v>45356</v>
      </c>
      <c r="C398" t="s">
        <v>22</v>
      </c>
      <c r="D398" t="s">
        <v>23</v>
      </c>
      <c r="E398" t="s">
        <v>24</v>
      </c>
      <c r="F398" t="s">
        <v>16</v>
      </c>
      <c r="G398">
        <v>4800000</v>
      </c>
      <c r="H398">
        <v>550000</v>
      </c>
      <c r="I398" t="s">
        <v>26</v>
      </c>
      <c r="J398" s="1">
        <v>45693</v>
      </c>
      <c r="K398">
        <v>8000000</v>
      </c>
    </row>
    <row r="399" spans="1:12" x14ac:dyDescent="0.3">
      <c r="A399" t="s">
        <v>443</v>
      </c>
      <c r="B399" s="1">
        <v>45318</v>
      </c>
      <c r="C399" t="s">
        <v>31</v>
      </c>
      <c r="D399" t="s">
        <v>44</v>
      </c>
      <c r="E399" t="s">
        <v>45</v>
      </c>
      <c r="F399" t="s">
        <v>25</v>
      </c>
      <c r="G399">
        <v>3300000</v>
      </c>
      <c r="H399">
        <v>3300000</v>
      </c>
      <c r="J399" s="1">
        <v>45985</v>
      </c>
      <c r="K399">
        <v>7500000</v>
      </c>
    </row>
    <row r="400" spans="1:12" x14ac:dyDescent="0.3">
      <c r="A400" t="s">
        <v>444</v>
      </c>
      <c r="B400" s="1">
        <v>45649</v>
      </c>
      <c r="C400" t="s">
        <v>166</v>
      </c>
      <c r="D400" t="s">
        <v>23</v>
      </c>
      <c r="E400" t="s">
        <v>24</v>
      </c>
      <c r="F400" t="s">
        <v>25</v>
      </c>
      <c r="G400">
        <v>3400000</v>
      </c>
      <c r="H400">
        <v>3400000</v>
      </c>
      <c r="I400" t="s">
        <v>20</v>
      </c>
      <c r="J400" s="1">
        <v>46416</v>
      </c>
      <c r="K400">
        <v>7500000</v>
      </c>
      <c r="L400" t="s">
        <v>18</v>
      </c>
    </row>
    <row r="401" spans="1:12" x14ac:dyDescent="0.3">
      <c r="A401" t="s">
        <v>445</v>
      </c>
      <c r="B401" s="1">
        <v>45357</v>
      </c>
      <c r="C401" t="s">
        <v>13</v>
      </c>
      <c r="D401" t="s">
        <v>14</v>
      </c>
      <c r="E401" t="s">
        <v>15</v>
      </c>
      <c r="F401" t="s">
        <v>16</v>
      </c>
      <c r="G401">
        <v>5100000</v>
      </c>
      <c r="H401">
        <v>1150000</v>
      </c>
      <c r="I401" t="s">
        <v>26</v>
      </c>
      <c r="J401" s="1">
        <v>45753</v>
      </c>
      <c r="K401">
        <v>8500000</v>
      </c>
    </row>
    <row r="402" spans="1:12" x14ac:dyDescent="0.3">
      <c r="A402" t="s">
        <v>446</v>
      </c>
      <c r="B402" s="1">
        <v>45454</v>
      </c>
      <c r="C402" t="s">
        <v>13</v>
      </c>
      <c r="D402" t="s">
        <v>23</v>
      </c>
      <c r="E402" t="s">
        <v>24</v>
      </c>
      <c r="F402" t="s">
        <v>16</v>
      </c>
      <c r="G402">
        <v>4250000</v>
      </c>
      <c r="H402">
        <v>1300000</v>
      </c>
      <c r="I402" t="s">
        <v>26</v>
      </c>
      <c r="J402" s="1">
        <v>46022</v>
      </c>
      <c r="K402">
        <v>8500000</v>
      </c>
    </row>
    <row r="403" spans="1:12" x14ac:dyDescent="0.3">
      <c r="A403" t="s">
        <v>447</v>
      </c>
      <c r="B403" s="1">
        <v>45537</v>
      </c>
      <c r="C403" t="s">
        <v>35</v>
      </c>
      <c r="D403" t="s">
        <v>23</v>
      </c>
      <c r="E403" t="s">
        <v>24</v>
      </c>
      <c r="F403" t="s">
        <v>16</v>
      </c>
      <c r="G403">
        <v>4600000</v>
      </c>
      <c r="H403">
        <v>0</v>
      </c>
      <c r="I403" t="s">
        <v>17</v>
      </c>
      <c r="J403" s="1">
        <v>46428</v>
      </c>
      <c r="K403">
        <v>9000000</v>
      </c>
    </row>
    <row r="404" spans="1:12" x14ac:dyDescent="0.3">
      <c r="A404" t="s">
        <v>448</v>
      </c>
      <c r="B404" s="1">
        <v>45445</v>
      </c>
      <c r="C404" t="s">
        <v>58</v>
      </c>
      <c r="D404" t="s">
        <v>44</v>
      </c>
      <c r="E404" t="s">
        <v>45</v>
      </c>
      <c r="F404" t="s">
        <v>51</v>
      </c>
      <c r="G404">
        <v>9750000</v>
      </c>
      <c r="H404">
        <v>9750000</v>
      </c>
      <c r="I404" t="s">
        <v>20</v>
      </c>
      <c r="J404" s="1">
        <v>46040</v>
      </c>
      <c r="K404">
        <v>8000000</v>
      </c>
    </row>
    <row r="405" spans="1:12" x14ac:dyDescent="0.3">
      <c r="A405" t="s">
        <v>449</v>
      </c>
      <c r="B405" s="1">
        <v>45337</v>
      </c>
      <c r="C405" t="s">
        <v>28</v>
      </c>
      <c r="D405" t="s">
        <v>14</v>
      </c>
      <c r="E405" t="s">
        <v>15</v>
      </c>
      <c r="F405" t="s">
        <v>16</v>
      </c>
      <c r="G405">
        <v>4900000</v>
      </c>
      <c r="H405">
        <v>4900000</v>
      </c>
      <c r="I405" t="s">
        <v>20</v>
      </c>
      <c r="J405" s="1">
        <v>45554</v>
      </c>
      <c r="K405">
        <v>7000000</v>
      </c>
    </row>
    <row r="406" spans="1:12" x14ac:dyDescent="0.3">
      <c r="A406" t="s">
        <v>450</v>
      </c>
      <c r="B406" s="1">
        <v>45573</v>
      </c>
      <c r="C406" t="s">
        <v>28</v>
      </c>
      <c r="D406" t="s">
        <v>14</v>
      </c>
      <c r="E406" t="s">
        <v>15</v>
      </c>
      <c r="F406" t="s">
        <v>16</v>
      </c>
      <c r="G406">
        <v>5650000</v>
      </c>
      <c r="H406">
        <v>1950000</v>
      </c>
      <c r="I406" t="s">
        <v>26</v>
      </c>
      <c r="J406" s="1">
        <v>46128</v>
      </c>
      <c r="K406">
        <v>7000000</v>
      </c>
    </row>
    <row r="407" spans="1:12" x14ac:dyDescent="0.3">
      <c r="A407" t="s">
        <v>451</v>
      </c>
      <c r="B407" s="1">
        <v>45474</v>
      </c>
      <c r="C407" t="s">
        <v>22</v>
      </c>
      <c r="D407" t="s">
        <v>14</v>
      </c>
      <c r="E407" t="s">
        <v>15</v>
      </c>
      <c r="F407" t="s">
        <v>51</v>
      </c>
      <c r="G407">
        <v>12300000</v>
      </c>
      <c r="H407">
        <v>12300000</v>
      </c>
      <c r="I407" t="s">
        <v>20</v>
      </c>
      <c r="J407" s="1">
        <v>45699</v>
      </c>
      <c r="K407">
        <v>8000000</v>
      </c>
      <c r="L407" t="s">
        <v>40</v>
      </c>
    </row>
    <row r="408" spans="1:12" x14ac:dyDescent="0.3">
      <c r="A408" t="s">
        <v>452</v>
      </c>
      <c r="B408" s="1">
        <v>45435</v>
      </c>
      <c r="C408" t="s">
        <v>22</v>
      </c>
      <c r="D408" t="s">
        <v>14</v>
      </c>
      <c r="E408" t="s">
        <v>15</v>
      </c>
      <c r="F408" t="s">
        <v>16</v>
      </c>
      <c r="G408">
        <v>4950000</v>
      </c>
      <c r="H408">
        <v>4950000</v>
      </c>
      <c r="I408" t="s">
        <v>20</v>
      </c>
      <c r="J408" s="1">
        <v>45986</v>
      </c>
      <c r="K408">
        <v>8000000</v>
      </c>
      <c r="L408" t="s">
        <v>38</v>
      </c>
    </row>
    <row r="409" spans="1:12" x14ac:dyDescent="0.3">
      <c r="A409" t="s">
        <v>453</v>
      </c>
      <c r="B409" s="1">
        <v>45329</v>
      </c>
      <c r="C409" t="s">
        <v>13</v>
      </c>
      <c r="D409" t="s">
        <v>23</v>
      </c>
      <c r="E409" t="s">
        <v>24</v>
      </c>
      <c r="F409" t="s">
        <v>25</v>
      </c>
      <c r="G409">
        <v>3350000</v>
      </c>
      <c r="H409">
        <v>0</v>
      </c>
      <c r="I409" t="s">
        <v>17</v>
      </c>
      <c r="J409" s="1">
        <v>45836</v>
      </c>
      <c r="K409">
        <v>8500000</v>
      </c>
      <c r="L409" t="s">
        <v>40</v>
      </c>
    </row>
    <row r="410" spans="1:12" x14ac:dyDescent="0.3">
      <c r="A410" t="s">
        <v>454</v>
      </c>
      <c r="B410" s="1">
        <v>45471</v>
      </c>
      <c r="C410" t="s">
        <v>35</v>
      </c>
      <c r="D410" t="s">
        <v>44</v>
      </c>
      <c r="E410" t="s">
        <v>45</v>
      </c>
      <c r="F410" t="s">
        <v>33</v>
      </c>
      <c r="G410">
        <v>8150000</v>
      </c>
      <c r="H410">
        <v>8150000</v>
      </c>
      <c r="I410" t="s">
        <v>20</v>
      </c>
      <c r="J410" s="1">
        <v>46260</v>
      </c>
      <c r="K410">
        <v>9000000</v>
      </c>
      <c r="L410" t="s">
        <v>38</v>
      </c>
    </row>
    <row r="411" spans="1:12" x14ac:dyDescent="0.3">
      <c r="A411" t="s">
        <v>455</v>
      </c>
      <c r="B411" s="1">
        <v>45560</v>
      </c>
      <c r="C411" t="s">
        <v>35</v>
      </c>
      <c r="D411" t="s">
        <v>23</v>
      </c>
      <c r="E411" t="s">
        <v>24</v>
      </c>
      <c r="F411" t="s">
        <v>16</v>
      </c>
      <c r="G411">
        <v>4650000</v>
      </c>
      <c r="H411">
        <v>700000</v>
      </c>
      <c r="I411" t="s">
        <v>26</v>
      </c>
      <c r="J411" s="1">
        <v>46290</v>
      </c>
      <c r="K411">
        <v>9000000</v>
      </c>
    </row>
    <row r="412" spans="1:12" x14ac:dyDescent="0.3">
      <c r="A412" t="s">
        <v>456</v>
      </c>
      <c r="B412" s="1">
        <v>45342</v>
      </c>
      <c r="C412" t="s">
        <v>22</v>
      </c>
      <c r="D412" t="s">
        <v>44</v>
      </c>
      <c r="E412" t="s">
        <v>45</v>
      </c>
      <c r="F412" t="s">
        <v>51</v>
      </c>
      <c r="G412">
        <v>11300000</v>
      </c>
      <c r="H412">
        <v>2650000</v>
      </c>
      <c r="I412" t="s">
        <v>26</v>
      </c>
      <c r="J412" s="1">
        <v>45755</v>
      </c>
      <c r="K412">
        <v>8000000</v>
      </c>
    </row>
    <row r="413" spans="1:12" x14ac:dyDescent="0.3">
      <c r="A413" t="s">
        <v>457</v>
      </c>
      <c r="B413" s="1">
        <v>45381</v>
      </c>
      <c r="C413" t="s">
        <v>28</v>
      </c>
      <c r="D413" t="s">
        <v>44</v>
      </c>
      <c r="E413" t="s">
        <v>45</v>
      </c>
      <c r="F413" t="s">
        <v>51</v>
      </c>
      <c r="G413">
        <v>12500000</v>
      </c>
      <c r="H413">
        <v>12500000</v>
      </c>
      <c r="J413" s="1">
        <v>46242</v>
      </c>
      <c r="K413">
        <v>7000000</v>
      </c>
      <c r="L413" t="s">
        <v>52</v>
      </c>
    </row>
    <row r="414" spans="1:12" x14ac:dyDescent="0.3">
      <c r="A414" t="s">
        <v>458</v>
      </c>
      <c r="B414" s="1">
        <v>45449</v>
      </c>
      <c r="C414" t="s">
        <v>13</v>
      </c>
      <c r="D414" t="s">
        <v>23</v>
      </c>
      <c r="E414" t="s">
        <v>24</v>
      </c>
      <c r="F414" t="s">
        <v>25</v>
      </c>
      <c r="G414">
        <v>3150000</v>
      </c>
      <c r="H414">
        <v>700000</v>
      </c>
      <c r="I414" t="s">
        <v>26</v>
      </c>
      <c r="J414" s="1">
        <v>46008</v>
      </c>
      <c r="K414">
        <v>8500000</v>
      </c>
    </row>
    <row r="415" spans="1:12" x14ac:dyDescent="0.3">
      <c r="A415" t="s">
        <v>459</v>
      </c>
      <c r="B415" s="1">
        <v>45358</v>
      </c>
      <c r="C415" t="s">
        <v>35</v>
      </c>
      <c r="D415" t="s">
        <v>23</v>
      </c>
      <c r="E415" t="s">
        <v>24</v>
      </c>
      <c r="F415" t="s">
        <v>25</v>
      </c>
      <c r="G415">
        <v>2500000</v>
      </c>
      <c r="H415">
        <v>2500000</v>
      </c>
      <c r="I415" t="s">
        <v>20</v>
      </c>
      <c r="J415" s="1">
        <v>46138</v>
      </c>
      <c r="K415">
        <v>9000000</v>
      </c>
      <c r="L415" t="s">
        <v>52</v>
      </c>
    </row>
    <row r="416" spans="1:12" x14ac:dyDescent="0.3">
      <c r="A416" t="s">
        <v>460</v>
      </c>
      <c r="B416" s="1">
        <v>45550</v>
      </c>
      <c r="C416" t="s">
        <v>13</v>
      </c>
      <c r="D416" t="s">
        <v>23</v>
      </c>
      <c r="E416" t="s">
        <v>24</v>
      </c>
      <c r="F416" t="s">
        <v>33</v>
      </c>
      <c r="G416">
        <v>8550000</v>
      </c>
      <c r="H416">
        <v>8550000</v>
      </c>
      <c r="I416" t="s">
        <v>20</v>
      </c>
      <c r="J416" s="1">
        <v>45736</v>
      </c>
      <c r="K416">
        <v>8500000</v>
      </c>
    </row>
    <row r="417" spans="1:12" x14ac:dyDescent="0.3">
      <c r="A417" t="s">
        <v>461</v>
      </c>
      <c r="B417" s="1">
        <v>45292</v>
      </c>
      <c r="C417" t="s">
        <v>35</v>
      </c>
      <c r="D417" t="s">
        <v>23</v>
      </c>
      <c r="E417" t="s">
        <v>24</v>
      </c>
      <c r="F417" t="s">
        <v>51</v>
      </c>
      <c r="G417">
        <v>12200000</v>
      </c>
      <c r="H417">
        <v>2850000</v>
      </c>
      <c r="I417" t="s">
        <v>26</v>
      </c>
      <c r="J417" s="1">
        <v>46163</v>
      </c>
      <c r="K417">
        <v>9000000</v>
      </c>
      <c r="L417" t="s">
        <v>29</v>
      </c>
    </row>
    <row r="418" spans="1:12" x14ac:dyDescent="0.3">
      <c r="A418" t="s">
        <v>462</v>
      </c>
      <c r="B418" s="1">
        <v>45478</v>
      </c>
      <c r="C418" t="s">
        <v>13</v>
      </c>
      <c r="D418" t="s">
        <v>23</v>
      </c>
      <c r="E418" t="s">
        <v>24</v>
      </c>
      <c r="F418" t="s">
        <v>33</v>
      </c>
      <c r="G418">
        <v>7800000</v>
      </c>
      <c r="H418">
        <v>0</v>
      </c>
      <c r="I418" t="s">
        <v>17</v>
      </c>
      <c r="J418" s="1">
        <v>45785</v>
      </c>
      <c r="K418">
        <v>8500000</v>
      </c>
      <c r="L418" t="s">
        <v>18</v>
      </c>
    </row>
    <row r="419" spans="1:12" x14ac:dyDescent="0.3">
      <c r="A419" t="s">
        <v>463</v>
      </c>
      <c r="B419" s="1">
        <v>45317</v>
      </c>
      <c r="C419" t="s">
        <v>31</v>
      </c>
      <c r="D419" t="s">
        <v>23</v>
      </c>
      <c r="E419" t="s">
        <v>24</v>
      </c>
      <c r="F419" t="s">
        <v>51</v>
      </c>
      <c r="G419">
        <v>12800000</v>
      </c>
      <c r="H419">
        <v>1400000</v>
      </c>
      <c r="I419" t="s">
        <v>26</v>
      </c>
      <c r="J419" s="1">
        <v>46196</v>
      </c>
      <c r="K419">
        <v>7500000</v>
      </c>
    </row>
    <row r="420" spans="1:12" x14ac:dyDescent="0.3">
      <c r="A420" t="s">
        <v>464</v>
      </c>
      <c r="B420" s="1">
        <v>45644</v>
      </c>
      <c r="C420" t="s">
        <v>22</v>
      </c>
      <c r="D420" t="s">
        <v>23</v>
      </c>
      <c r="E420" t="s">
        <v>24</v>
      </c>
      <c r="F420" t="s">
        <v>25</v>
      </c>
      <c r="G420">
        <v>2600000</v>
      </c>
      <c r="H420">
        <v>450000</v>
      </c>
      <c r="I420" t="s">
        <v>26</v>
      </c>
      <c r="J420" s="1">
        <v>45901</v>
      </c>
      <c r="K420">
        <v>8000000</v>
      </c>
      <c r="L420" t="s">
        <v>40</v>
      </c>
    </row>
    <row r="421" spans="1:12" x14ac:dyDescent="0.3">
      <c r="A421" t="s">
        <v>465</v>
      </c>
      <c r="B421" s="1">
        <v>45335</v>
      </c>
      <c r="C421" t="s">
        <v>28</v>
      </c>
      <c r="D421" t="s">
        <v>14</v>
      </c>
      <c r="E421" t="s">
        <v>15</v>
      </c>
      <c r="F421" t="s">
        <v>33</v>
      </c>
      <c r="G421">
        <v>6800000</v>
      </c>
      <c r="H421">
        <v>6800000</v>
      </c>
      <c r="I421" t="s">
        <v>20</v>
      </c>
      <c r="J421" s="1">
        <v>45789</v>
      </c>
      <c r="K421">
        <v>7000000</v>
      </c>
      <c r="L421" t="s">
        <v>52</v>
      </c>
    </row>
    <row r="422" spans="1:12" x14ac:dyDescent="0.3">
      <c r="A422" t="s">
        <v>466</v>
      </c>
      <c r="B422" s="1">
        <v>45383</v>
      </c>
      <c r="C422" t="s">
        <v>22</v>
      </c>
      <c r="D422" t="s">
        <v>44</v>
      </c>
      <c r="E422" t="s">
        <v>45</v>
      </c>
      <c r="F422" t="s">
        <v>16</v>
      </c>
      <c r="G422">
        <v>4500000</v>
      </c>
      <c r="H422">
        <v>4500000</v>
      </c>
      <c r="I422" t="s">
        <v>20</v>
      </c>
      <c r="J422" s="1">
        <v>46197</v>
      </c>
      <c r="K422">
        <v>8000000</v>
      </c>
    </row>
    <row r="423" spans="1:12" x14ac:dyDescent="0.3">
      <c r="A423" t="s">
        <v>467</v>
      </c>
      <c r="B423" s="1">
        <v>45595</v>
      </c>
      <c r="C423" t="s">
        <v>166</v>
      </c>
      <c r="D423" t="s">
        <v>23</v>
      </c>
      <c r="E423" t="s">
        <v>175</v>
      </c>
      <c r="F423" t="s">
        <v>51</v>
      </c>
      <c r="G423">
        <v>10500000</v>
      </c>
      <c r="H423">
        <v>3500000</v>
      </c>
      <c r="I423" t="s">
        <v>26</v>
      </c>
      <c r="J423" s="1">
        <v>46130</v>
      </c>
      <c r="K423">
        <v>7500000</v>
      </c>
    </row>
    <row r="424" spans="1:12" x14ac:dyDescent="0.3">
      <c r="A424" t="s">
        <v>468</v>
      </c>
      <c r="B424" s="1">
        <v>45511</v>
      </c>
      <c r="C424" t="s">
        <v>35</v>
      </c>
      <c r="D424" t="s">
        <v>23</v>
      </c>
      <c r="E424" t="s">
        <v>24</v>
      </c>
      <c r="F424" t="s">
        <v>25</v>
      </c>
      <c r="G424">
        <v>3400000</v>
      </c>
      <c r="H424">
        <v>1200000</v>
      </c>
      <c r="I424" t="s">
        <v>26</v>
      </c>
      <c r="J424" s="1">
        <v>45799</v>
      </c>
      <c r="K424">
        <v>9000000</v>
      </c>
    </row>
    <row r="425" spans="1:12" x14ac:dyDescent="0.3">
      <c r="A425" t="s">
        <v>469</v>
      </c>
      <c r="B425" s="1">
        <v>45477</v>
      </c>
      <c r="C425" t="s">
        <v>28</v>
      </c>
      <c r="D425" t="s">
        <v>14</v>
      </c>
      <c r="E425" t="s">
        <v>15</v>
      </c>
      <c r="F425" t="s">
        <v>51</v>
      </c>
      <c r="G425">
        <v>10650000</v>
      </c>
      <c r="H425">
        <v>10650000</v>
      </c>
      <c r="I425" t="s">
        <v>20</v>
      </c>
      <c r="J425" s="1">
        <v>46162</v>
      </c>
      <c r="K425">
        <v>7000000</v>
      </c>
      <c r="L425" t="s">
        <v>42</v>
      </c>
    </row>
    <row r="426" spans="1:12" x14ac:dyDescent="0.3">
      <c r="A426" t="s">
        <v>470</v>
      </c>
      <c r="B426" s="1">
        <v>45304</v>
      </c>
      <c r="C426" t="s">
        <v>22</v>
      </c>
      <c r="D426" t="s">
        <v>23</v>
      </c>
      <c r="E426" t="s">
        <v>24</v>
      </c>
      <c r="F426" t="s">
        <v>33</v>
      </c>
      <c r="G426">
        <v>6800000</v>
      </c>
      <c r="H426">
        <v>1550000</v>
      </c>
      <c r="I426" t="s">
        <v>26</v>
      </c>
      <c r="J426" s="1">
        <v>46128</v>
      </c>
      <c r="K426">
        <v>8000000</v>
      </c>
      <c r="L426" t="s">
        <v>29</v>
      </c>
    </row>
    <row r="427" spans="1:12" x14ac:dyDescent="0.3">
      <c r="A427" t="s">
        <v>471</v>
      </c>
      <c r="B427" s="1">
        <v>45495</v>
      </c>
      <c r="C427" t="s">
        <v>13</v>
      </c>
      <c r="D427" t="s">
        <v>23</v>
      </c>
      <c r="E427" t="s">
        <v>24</v>
      </c>
      <c r="F427" t="s">
        <v>51</v>
      </c>
      <c r="G427">
        <v>10100000</v>
      </c>
      <c r="H427">
        <v>10100000</v>
      </c>
      <c r="I427" t="s">
        <v>20</v>
      </c>
      <c r="J427" s="1">
        <v>45999</v>
      </c>
      <c r="K427">
        <v>8500000</v>
      </c>
      <c r="L427" t="s">
        <v>38</v>
      </c>
    </row>
    <row r="428" spans="1:12" x14ac:dyDescent="0.3">
      <c r="A428" t="s">
        <v>472</v>
      </c>
      <c r="B428" s="1">
        <v>45348</v>
      </c>
      <c r="C428" t="s">
        <v>28</v>
      </c>
      <c r="D428" t="s">
        <v>14</v>
      </c>
      <c r="E428" t="s">
        <v>15</v>
      </c>
      <c r="F428" t="s">
        <v>16</v>
      </c>
      <c r="G428">
        <v>5500000</v>
      </c>
      <c r="H428">
        <v>0</v>
      </c>
      <c r="I428" t="s">
        <v>17</v>
      </c>
      <c r="J428" s="1">
        <v>45933</v>
      </c>
      <c r="K428">
        <v>7000000</v>
      </c>
      <c r="L428" t="s">
        <v>38</v>
      </c>
    </row>
    <row r="429" spans="1:12" x14ac:dyDescent="0.3">
      <c r="A429" t="s">
        <v>473</v>
      </c>
      <c r="B429" s="1">
        <v>45636</v>
      </c>
      <c r="C429" t="s">
        <v>28</v>
      </c>
      <c r="D429" t="s">
        <v>23</v>
      </c>
      <c r="E429" t="s">
        <v>24</v>
      </c>
      <c r="F429" t="s">
        <v>51</v>
      </c>
      <c r="G429">
        <v>11450000</v>
      </c>
      <c r="H429">
        <v>11450000</v>
      </c>
      <c r="I429" t="s">
        <v>20</v>
      </c>
      <c r="J429" s="1">
        <v>46287</v>
      </c>
      <c r="K429">
        <v>7000000</v>
      </c>
      <c r="L429" t="s">
        <v>40</v>
      </c>
    </row>
    <row r="430" spans="1:12" x14ac:dyDescent="0.3">
      <c r="A430" t="s">
        <v>474</v>
      </c>
      <c r="B430" s="1">
        <v>45522</v>
      </c>
      <c r="C430" t="s">
        <v>13</v>
      </c>
      <c r="D430" t="s">
        <v>23</v>
      </c>
      <c r="E430" t="s">
        <v>24</v>
      </c>
      <c r="F430" t="s">
        <v>16</v>
      </c>
      <c r="G430">
        <v>4400000</v>
      </c>
      <c r="H430">
        <v>0</v>
      </c>
      <c r="I430" t="s">
        <v>17</v>
      </c>
      <c r="J430" s="1">
        <v>46301</v>
      </c>
      <c r="K430">
        <v>8500000</v>
      </c>
    </row>
    <row r="431" spans="1:12" x14ac:dyDescent="0.3">
      <c r="A431" t="s">
        <v>475</v>
      </c>
      <c r="B431" s="1">
        <v>45424</v>
      </c>
      <c r="C431" t="s">
        <v>31</v>
      </c>
      <c r="D431" t="s">
        <v>14</v>
      </c>
      <c r="E431" t="s">
        <v>15</v>
      </c>
      <c r="F431" t="s">
        <v>16</v>
      </c>
      <c r="G431">
        <v>4800000</v>
      </c>
      <c r="H431">
        <v>1150000</v>
      </c>
      <c r="I431" t="s">
        <v>26</v>
      </c>
      <c r="J431" s="1">
        <v>46299</v>
      </c>
      <c r="K431">
        <v>7500000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276D84-3664-48E3-8750-CF38ABD871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Analysis</vt:lpstr>
      <vt:lpstr>Cleaned Data</vt:lpstr>
      <vt:lpstr>MIS Summary</vt:lpstr>
      <vt:lpstr>Annual_MIS</vt:lpstr>
      <vt:lpstr>Monthly_MIS</vt:lpstr>
      <vt:lpstr>Daily_MIS</vt:lpstr>
      <vt:lpstr>AutomateCleaning</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saroj mali</cp:lastModifiedBy>
  <dcterms:created xsi:type="dcterms:W3CDTF">2026-03-30T07:29:48Z</dcterms:created>
  <dcterms:modified xsi:type="dcterms:W3CDTF">2026-04-01T12:21:18Z</dcterms:modified>
</cp:coreProperties>
</file>